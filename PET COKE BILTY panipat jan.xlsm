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0" yWindow="0" windowWidth="22188" windowHeight="9000" tabRatio="500" activeTab="1"/>
  </bookViews>
  <sheets>
    <sheet name="Sheet2" sheetId="1" r:id="rId1"/>
    <sheet name="BUILTY" sheetId="2" r:id="rId2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2" l="1"/>
  <c r="E5" i="1"/>
  <c r="G5" i="1" s="1"/>
  <c r="G7" i="1" l="1"/>
  <c r="K10" i="2" s="1"/>
  <c r="G6" i="1"/>
</calcChain>
</file>

<file path=xl/sharedStrings.xml><?xml version="1.0" encoding="utf-8"?>
<sst xmlns="http://schemas.openxmlformats.org/spreadsheetml/2006/main" count="46" uniqueCount="45">
  <si>
    <t>TRUCK WEIGHT</t>
  </si>
  <si>
    <t>COKE RATE</t>
  </si>
  <si>
    <t>TOTAL</t>
  </si>
  <si>
    <t>A</t>
  </si>
  <si>
    <t>IGST 18%</t>
  </si>
  <si>
    <t>ARC</t>
  </si>
  <si>
    <t>Phone:  , DUMP:  9463651769,  6284543114,  7589005270</t>
  </si>
  <si>
    <t>Associated  Road  Carriers</t>
  </si>
  <si>
    <t>H.O. : SCO-9/20 COM.  COMPLEX  CUSUMPATI SHIMLA</t>
  </si>
  <si>
    <t>DATE</t>
  </si>
  <si>
    <t>B.O. CEAT HUB MOTOR MARKET BERI, DISTT. BILASPUR(H.P)</t>
  </si>
  <si>
    <t>G.R. NO.</t>
  </si>
  <si>
    <t>SCO 131, RAILWAY ROAD, DARUA, CHANDIGARH</t>
  </si>
  <si>
    <t>TRUCK NO.</t>
  </si>
  <si>
    <r>
      <rPr>
        <b/>
        <sz val="16"/>
        <color rgb="FF000000"/>
        <rFont val="Calibri"/>
        <charset val="134"/>
      </rPr>
      <t xml:space="preserve">FROM: </t>
    </r>
    <r>
      <rPr>
        <b/>
        <i/>
        <u/>
        <sz val="12"/>
        <color rgb="FF000000"/>
        <rFont val="Calibri"/>
        <charset val="134"/>
      </rPr>
      <t>DHEROWAL, NALAGARH</t>
    </r>
    <r>
      <rPr>
        <b/>
        <sz val="14"/>
        <color rgb="FF000000"/>
        <rFont val="Calibri"/>
        <charset val="134"/>
      </rPr>
      <t xml:space="preserve"> TO  </t>
    </r>
    <r>
      <rPr>
        <b/>
        <i/>
        <u/>
        <sz val="12"/>
        <color rgb="FF000000"/>
        <rFont val="Calibri"/>
        <charset val="134"/>
      </rPr>
      <t>BAGA  (H.P)</t>
    </r>
  </si>
  <si>
    <t>CHALLAN NO</t>
  </si>
  <si>
    <t>CONSIGNOR</t>
  </si>
  <si>
    <t>CONSIGNEE</t>
  </si>
  <si>
    <t>INDIAN OIL CORPORATION LTD.</t>
  </si>
  <si>
    <t>ADDRESS : M/S ULTRATECH CEMENT LTD.</t>
  </si>
  <si>
    <t>EWAY:</t>
  </si>
  <si>
    <t>PANIPAT (HR)</t>
  </si>
  <si>
    <t>BAGGA CEMENT WORKS, BAGGA, DIST.SOLAN (H.P.)</t>
  </si>
  <si>
    <t>GSTIN NO. 06AAACl1681G1ZT</t>
  </si>
  <si>
    <t>GSTIN NO. 02AAACL6442L2ZL</t>
  </si>
  <si>
    <t>VALUE:</t>
  </si>
  <si>
    <t>NO. OF</t>
  </si>
  <si>
    <t>GOODS AS SOLD TO BE CONTAINED</t>
  </si>
  <si>
    <t>ACTUAL WT. (MTS)</t>
  </si>
  <si>
    <t>RATE</t>
  </si>
  <si>
    <t>TOTAL FREIGHT</t>
  </si>
  <si>
    <t>ADVANCE</t>
  </si>
  <si>
    <t>REMARKS</t>
  </si>
  <si>
    <t>ARTICLE</t>
  </si>
  <si>
    <t>LOOSE</t>
  </si>
  <si>
    <t>NILL</t>
  </si>
  <si>
    <t>PET COKE</t>
  </si>
  <si>
    <t>DISP. TIME  :</t>
  </si>
  <si>
    <t>REACH TIME:  16.00HRS</t>
  </si>
  <si>
    <t>SIGNATURE OF CONSIGNEE</t>
  </si>
  <si>
    <t>FOR ASSOCIATED ROAD CARRIERS</t>
  </si>
  <si>
    <t>SIMRAN</t>
  </si>
  <si>
    <t>PC002026</t>
  </si>
  <si>
    <t>HP24C-9297</t>
  </si>
  <si>
    <t>HR5516017610,7672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</si>
</sst>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 &quot;₹ &quot;* #,##0.00_ ;_ &quot;₹ &quot;* \-#,##0.00_ ;_ &quot;₹ &quot;* \-??_ ;_ @_ "/>
    <numFmt numFmtId="165" formatCode="0.000"/>
    <numFmt numFmtId="166" formatCode="_ &quot;₹ &quot;* #,##0_ ;_ &quot;₹ &quot;* \-#,##0_ ;_ &quot;₹ &quot;* \-??_ ;_ @_ "/>
    <numFmt numFmtId="167" formatCode="dd/mm/yyyy"/>
    <numFmt numFmtId="168" formatCode="\P\C000000"/>
    <numFmt numFmtId="169" formatCode="0000\ 0000\ 0000"/>
    <numFmt numFmtId="170" formatCode="_ [$₹-4009]\ * #,##0_ ;_ [$₹-4009]\ * \-#,##0_ ;_ [$₹-4009]\ * \-??_ ;_ @_ "/>
    <numFmt numFmtId="171" formatCode="&quot;₹ &quot;#,##0.00"/>
    <numFmt numFmtId="172" formatCode="0.0"/>
  </numFmts>
  <fonts count="22">
    <font>
      <sz val="11"/>
      <color rgb="FF000000"/>
      <name val="Calibri"/>
      <charset val="1"/>
    </font>
    <font>
      <b/>
      <sz val="18"/>
      <color rgb="FF000000"/>
      <name val="Bookman Old Style"/>
      <charset val="134"/>
    </font>
    <font>
      <sz val="18"/>
      <color rgb="FF000000"/>
      <name val="Calibri"/>
      <charset val="134"/>
    </font>
    <font>
      <b/>
      <i/>
      <u/>
      <sz val="12"/>
      <color rgb="FF000000"/>
      <name val="Calibri"/>
      <charset val="134"/>
    </font>
    <font>
      <b/>
      <sz val="28"/>
      <color rgb="FF000000"/>
      <name val="Bookman Old Style"/>
      <charset val="134"/>
    </font>
    <font>
      <b/>
      <u/>
      <sz val="14"/>
      <color rgb="FF000000"/>
      <name val="Calibri"/>
      <charset val="134"/>
    </font>
    <font>
      <b/>
      <sz val="14"/>
      <color rgb="FF000000"/>
      <name val="Calibri"/>
      <charset val="134"/>
    </font>
    <font>
      <b/>
      <sz val="12"/>
      <color rgb="FF000000"/>
      <name val="Calibri"/>
      <charset val="134"/>
    </font>
    <font>
      <b/>
      <sz val="11"/>
      <color rgb="FF000000"/>
      <name val="Calibri"/>
      <charset val="134"/>
    </font>
    <font>
      <b/>
      <sz val="10"/>
      <color rgb="FF000000"/>
      <name val="Calibri"/>
      <charset val="134"/>
    </font>
    <font>
      <b/>
      <sz val="26"/>
      <color rgb="FF000000"/>
      <name val="Calibri"/>
      <charset val="134"/>
    </font>
    <font>
      <b/>
      <sz val="16"/>
      <color rgb="FF000000"/>
      <name val="Calibri"/>
      <charset val="134"/>
    </font>
    <font>
      <b/>
      <u/>
      <sz val="12"/>
      <color rgb="FF000000"/>
      <name val="Calibri"/>
      <charset val="134"/>
    </font>
    <font>
      <b/>
      <i/>
      <sz val="14"/>
      <color rgb="FF000000"/>
      <name val="Calibri"/>
      <charset val="134"/>
    </font>
    <font>
      <b/>
      <sz val="11"/>
      <color rgb="FF000000"/>
      <name val="Bahnschrift SemiBold Condensed"/>
      <charset val="134"/>
    </font>
    <font>
      <b/>
      <i/>
      <sz val="11"/>
      <color rgb="FF000000"/>
      <name val="Calibri"/>
      <charset val="134"/>
    </font>
    <font>
      <b/>
      <sz val="18"/>
      <color rgb="FF000000"/>
      <name val="Calibri"/>
      <charset val="134"/>
    </font>
    <font>
      <b/>
      <sz val="28"/>
      <color rgb="FF000000"/>
      <name val="Calibri"/>
      <charset val="134"/>
    </font>
    <font>
      <sz val="12"/>
      <color rgb="FF000000"/>
      <name val="Calibri"/>
      <charset val="134"/>
    </font>
    <font>
      <sz val="14"/>
      <color rgb="FF000000"/>
      <name val="Calibri"/>
      <charset val="134"/>
    </font>
    <font>
      <sz val="28"/>
      <color rgb="FF000000"/>
      <name val="Calibri"/>
      <charset val="134"/>
    </font>
    <font>
      <sz val="11"/>
      <color rgb="FF000000"/>
      <name val="Calibri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9D9D9"/>
        <bgColor rgb="FFC9C9C9"/>
      </patternFill>
    </fill>
    <fill>
      <patternFill patternType="solid">
        <fgColor rgb="FFA6A6A6"/>
        <bgColor rgb="FFAFABAB"/>
      </patternFill>
    </fill>
    <fill>
      <patternFill patternType="solid">
        <fgColor rgb="FFF2F2F2"/>
        <bgColor rgb="FFFFFFFF"/>
      </patternFill>
    </fill>
    <fill>
      <patternFill patternType="solid">
        <fgColor rgb="FFF4B183"/>
        <bgColor rgb="FFF8CBAD"/>
      </patternFill>
    </fill>
    <fill>
      <patternFill patternType="solid">
        <fgColor rgb="FF9DC3E6"/>
        <bgColor rgb="FF8FAADC"/>
      </patternFill>
    </fill>
    <fill>
      <patternFill patternType="solid">
        <fgColor rgb="FFFFD966"/>
        <bgColor rgb="FFF8CBAD"/>
      </patternFill>
    </fill>
    <fill>
      <patternFill patternType="solid">
        <fgColor rgb="FF00B050"/>
        <bgColor rgb="FF008080"/>
      </patternFill>
    </fill>
    <fill>
      <patternFill patternType="solid">
        <fgColor rgb="FF92D050"/>
        <bgColor rgb="FFAFABAB"/>
      </patternFill>
    </fill>
    <fill>
      <patternFill patternType="solid">
        <fgColor rgb="FF2E75B6"/>
        <bgColor rgb="FF0066CC"/>
      </patternFill>
    </fill>
    <fill>
      <patternFill patternType="solid">
        <fgColor rgb="FFC9C9C9"/>
        <bgColor rgb="FFD9D9D9"/>
      </patternFill>
    </fill>
  </fills>
  <borders count="4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164" fontId="21" fillId="0" borderId="0" applyBorder="0" applyProtection="0"/>
  </cellStyleXfs>
  <cellXfs count="91">
    <xf numFmtId="0" fontId="0" fillId="0" borderId="0" xfId="0"/>
    <xf numFmtId="0" fontId="0" fillId="0" borderId="0" xfId="0" applyAlignment="1" applyProtection="1"/>
    <xf numFmtId="0" fontId="1" fillId="0" borderId="1" xfId="0" applyFont="1" applyBorder="1" applyAlignment="1" applyProtection="1"/>
    <xf numFmtId="0" fontId="2" fillId="0" borderId="2" xfId="0" applyFont="1" applyBorder="1" applyAlignment="1" applyProtection="1"/>
    <xf numFmtId="0" fontId="5" fillId="0" borderId="5" xfId="0" applyFont="1" applyBorder="1" applyAlignment="1" applyProtection="1"/>
    <xf numFmtId="0" fontId="5" fillId="0" borderId="0" xfId="0" applyFont="1" applyBorder="1" applyAlignment="1" applyProtection="1"/>
    <xf numFmtId="0" fontId="5" fillId="0" borderId="8" xfId="0" applyFont="1" applyBorder="1" applyAlignment="1" applyProtection="1"/>
    <xf numFmtId="0" fontId="6" fillId="0" borderId="0" xfId="0" applyFont="1" applyBorder="1" applyAlignment="1" applyProtection="1"/>
    <xf numFmtId="0" fontId="7" fillId="0" borderId="8" xfId="0" applyFont="1" applyBorder="1" applyAlignment="1" applyProtection="1"/>
    <xf numFmtId="0" fontId="7" fillId="0" borderId="0" xfId="0" applyFont="1" applyBorder="1" applyAlignment="1" applyProtection="1"/>
    <xf numFmtId="0" fontId="7" fillId="0" borderId="5" xfId="0" applyFont="1" applyBorder="1" applyAlignment="1" applyProtection="1">
      <alignment vertical="center"/>
    </xf>
    <xf numFmtId="0" fontId="7" fillId="0" borderId="0" xfId="0" applyFont="1" applyBorder="1" applyAlignment="1" applyProtection="1">
      <alignment vertical="center"/>
    </xf>
    <xf numFmtId="0" fontId="7" fillId="0" borderId="10" xfId="0" applyFont="1" applyBorder="1" applyAlignment="1" applyProtection="1"/>
    <xf numFmtId="0" fontId="7" fillId="0" borderId="11" xfId="0" applyFont="1" applyBorder="1" applyAlignment="1" applyProtection="1"/>
    <xf numFmtId="0" fontId="7" fillId="0" borderId="12" xfId="0" applyFont="1" applyBorder="1" applyAlignment="1" applyProtection="1">
      <alignment vertical="center"/>
    </xf>
    <xf numFmtId="0" fontId="7" fillId="0" borderId="11" xfId="0" applyFont="1" applyBorder="1" applyAlignment="1" applyProtection="1">
      <alignment vertical="center"/>
    </xf>
    <xf numFmtId="0" fontId="8" fillId="3" borderId="13" xfId="0" applyFont="1" applyFill="1" applyBorder="1" applyAlignment="1" applyProtection="1">
      <alignment horizontal="center"/>
    </xf>
    <xf numFmtId="0" fontId="8" fillId="3" borderId="15" xfId="0" applyFont="1" applyFill="1" applyBorder="1" applyAlignment="1" applyProtection="1">
      <alignment horizontal="center"/>
    </xf>
    <xf numFmtId="0" fontId="11" fillId="2" borderId="17" xfId="0" applyFont="1" applyFill="1" applyBorder="1" applyAlignment="1" applyProtection="1">
      <alignment vertical="center"/>
    </xf>
    <xf numFmtId="0" fontId="6" fillId="2" borderId="18" xfId="0" applyFont="1" applyFill="1" applyBorder="1" applyAlignment="1" applyProtection="1">
      <alignment vertical="center"/>
    </xf>
    <xf numFmtId="0" fontId="6" fillId="2" borderId="19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0" fontId="6" fillId="2" borderId="0" xfId="0" applyFont="1" applyFill="1" applyBorder="1" applyAlignment="1" applyProtection="1">
      <alignment vertical="center"/>
    </xf>
    <xf numFmtId="0" fontId="6" fillId="2" borderId="21" xfId="0" applyFont="1" applyFill="1" applyBorder="1" applyAlignment="1" applyProtection="1">
      <alignment vertical="center"/>
    </xf>
    <xf numFmtId="0" fontId="0" fillId="2" borderId="0" xfId="0" applyFill="1" applyBorder="1" applyAlignment="1" applyProtection="1"/>
    <xf numFmtId="0" fontId="7" fillId="0" borderId="26" xfId="0" applyFont="1" applyBorder="1" applyAlignment="1" applyProtection="1">
      <alignment horizontal="left" vertical="center"/>
    </xf>
    <xf numFmtId="0" fontId="7" fillId="0" borderId="28" xfId="0" applyFont="1" applyBorder="1" applyAlignment="1" applyProtection="1">
      <alignment horizontal="left" vertical="center"/>
    </xf>
    <xf numFmtId="0" fontId="7" fillId="0" borderId="16" xfId="0" applyFont="1" applyBorder="1" applyAlignment="1" applyProtection="1">
      <alignment horizontal="left" vertical="center"/>
    </xf>
    <xf numFmtId="0" fontId="0" fillId="0" borderId="0" xfId="0" applyBorder="1" applyAlignment="1" applyProtection="1"/>
    <xf numFmtId="0" fontId="0" fillId="0" borderId="11" xfId="0" applyBorder="1" applyAlignment="1" applyProtection="1"/>
    <xf numFmtId="0" fontId="7" fillId="5" borderId="16" xfId="0" applyFont="1" applyFill="1" applyBorder="1" applyAlignment="1" applyProtection="1"/>
    <xf numFmtId="0" fontId="0" fillId="2" borderId="11" xfId="0" applyFill="1" applyBorder="1" applyAlignment="1" applyProtection="1"/>
    <xf numFmtId="0" fontId="16" fillId="6" borderId="0" xfId="0" applyFont="1" applyFill="1" applyAlignment="1" applyProtection="1"/>
    <xf numFmtId="0" fontId="16" fillId="7" borderId="0" xfId="0" applyFont="1" applyFill="1" applyAlignment="1" applyProtection="1">
      <alignment horizontal="center"/>
    </xf>
    <xf numFmtId="0" fontId="16" fillId="8" borderId="0" xfId="0" applyFont="1" applyFill="1" applyAlignment="1" applyProtection="1">
      <alignment horizontal="center"/>
    </xf>
    <xf numFmtId="0" fontId="2" fillId="0" borderId="0" xfId="0" applyFont="1" applyAlignment="1" applyProtection="1"/>
    <xf numFmtId="165" fontId="17" fillId="7" borderId="40" xfId="0" applyNumberFormat="1" applyFont="1" applyFill="1" applyBorder="1" applyAlignment="1" applyProtection="1"/>
    <xf numFmtId="165" fontId="17" fillId="9" borderId="41" xfId="0" applyNumberFormat="1" applyFont="1" applyFill="1" applyBorder="1" applyAlignment="1" applyProtection="1"/>
    <xf numFmtId="165" fontId="17" fillId="10" borderId="41" xfId="0" applyNumberFormat="1" applyFont="1" applyFill="1" applyBorder="1" applyAlignment="1" applyProtection="1"/>
    <xf numFmtId="0" fontId="17" fillId="11" borderId="41" xfId="0" applyFont="1" applyFill="1" applyBorder="1" applyAlignment="1" applyProtection="1"/>
    <xf numFmtId="0" fontId="17" fillId="0" borderId="42" xfId="0" applyFont="1" applyBorder="1" applyAlignment="1" applyProtection="1"/>
    <xf numFmtId="0" fontId="16" fillId="0" borderId="0" xfId="0" applyFont="1" applyAlignment="1" applyProtection="1"/>
    <xf numFmtId="0" fontId="18" fillId="0" borderId="0" xfId="0" applyFont="1" applyAlignment="1" applyProtection="1"/>
    <xf numFmtId="0" fontId="19" fillId="0" borderId="0" xfId="0" applyFont="1" applyAlignment="1" applyProtection="1"/>
    <xf numFmtId="0" fontId="17" fillId="0" borderId="41" xfId="0" applyFont="1" applyBorder="1" applyAlignment="1" applyProtection="1"/>
    <xf numFmtId="2" fontId="17" fillId="0" borderId="41" xfId="0" applyNumberFormat="1" applyFont="1" applyBorder="1" applyAlignment="1" applyProtection="1"/>
    <xf numFmtId="0" fontId="20" fillId="0" borderId="0" xfId="0" applyFont="1" applyAlignment="1" applyProtection="1"/>
    <xf numFmtId="0" fontId="17" fillId="0" borderId="0" xfId="0" applyFont="1" applyAlignment="1" applyProtection="1"/>
    <xf numFmtId="2" fontId="17" fillId="10" borderId="43" xfId="0" applyNumberFormat="1" applyFont="1" applyFill="1" applyBorder="1" applyAlignment="1" applyProtection="1"/>
    <xf numFmtId="0" fontId="10" fillId="8" borderId="41" xfId="0" applyFont="1" applyFill="1" applyBorder="1" applyAlignment="1" applyProtection="1">
      <alignment horizontal="center"/>
    </xf>
    <xf numFmtId="0" fontId="10" fillId="12" borderId="41" xfId="0" applyFont="1" applyFill="1" applyBorder="1" applyAlignment="1" applyProtection="1">
      <alignment horizontal="center"/>
    </xf>
    <xf numFmtId="0" fontId="10" fillId="7" borderId="41" xfId="0" applyFont="1" applyFill="1" applyBorder="1" applyAlignment="1" applyProtection="1">
      <alignment horizontal="center"/>
    </xf>
    <xf numFmtId="171" fontId="0" fillId="0" borderId="0" xfId="0" applyNumberFormat="1" applyAlignment="1" applyProtection="1"/>
    <xf numFmtId="172" fontId="0" fillId="0" borderId="0" xfId="0" applyNumberFormat="1" applyAlignment="1" applyProtection="1"/>
    <xf numFmtId="0" fontId="3" fillId="0" borderId="3" xfId="0" applyFont="1" applyBorder="1" applyAlignment="1" applyProtection="1">
      <alignment horizontal="right"/>
    </xf>
    <xf numFmtId="0" fontId="4" fillId="2" borderId="4" xfId="0" applyFont="1" applyFill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/>
    </xf>
    <xf numFmtId="167" fontId="7" fillId="5" borderId="27" xfId="0" applyNumberFormat="1" applyFont="1" applyFill="1" applyBorder="1" applyAlignment="1" applyProtection="1">
      <alignment horizontal="center" vertical="center"/>
    </xf>
    <xf numFmtId="168" fontId="7" fillId="5" borderId="29" xfId="0" applyNumberFormat="1" applyFont="1" applyFill="1" applyBorder="1" applyAlignment="1" applyProtection="1">
      <alignment horizontal="center" vertical="center" wrapText="1"/>
    </xf>
    <xf numFmtId="168" fontId="7" fillId="5" borderId="30" xfId="0" applyNumberFormat="1" applyFont="1" applyFill="1" applyBorder="1" applyAlignment="1" applyProtection="1">
      <alignment horizontal="center" vertical="center"/>
    </xf>
    <xf numFmtId="0" fontId="7" fillId="5" borderId="29" xfId="0" applyFont="1" applyFill="1" applyBorder="1" applyAlignment="1" applyProtection="1">
      <alignment horizontal="center" vertical="center"/>
    </xf>
    <xf numFmtId="0" fontId="7" fillId="5" borderId="30" xfId="0" applyFont="1" applyFill="1" applyBorder="1" applyAlignment="1" applyProtection="1">
      <alignment horizontal="center" vertical="center"/>
    </xf>
    <xf numFmtId="0" fontId="6" fillId="0" borderId="6" xfId="0" applyFont="1" applyBorder="1" applyAlignment="1" applyProtection="1">
      <alignment horizontal="center"/>
    </xf>
    <xf numFmtId="0" fontId="6" fillId="0" borderId="7" xfId="0" applyFont="1" applyBorder="1" applyAlignment="1" applyProtection="1">
      <alignment horizontal="center"/>
    </xf>
    <xf numFmtId="0" fontId="6" fillId="0" borderId="31" xfId="0" applyFont="1" applyBorder="1" applyAlignment="1" applyProtection="1">
      <alignment horizontal="center"/>
    </xf>
    <xf numFmtId="0" fontId="7" fillId="5" borderId="32" xfId="0" applyFont="1" applyFill="1" applyBorder="1" applyAlignment="1" applyProtection="1">
      <alignment horizontal="center" vertical="center"/>
    </xf>
    <xf numFmtId="0" fontId="0" fillId="0" borderId="33" xfId="0" applyBorder="1" applyAlignment="1" applyProtection="1">
      <alignment horizontal="center"/>
    </xf>
    <xf numFmtId="0" fontId="7" fillId="0" borderId="9" xfId="0" applyFont="1" applyBorder="1" applyAlignment="1" applyProtection="1">
      <alignment horizontal="left" vertical="center"/>
    </xf>
    <xf numFmtId="169" fontId="8" fillId="0" borderId="34" xfId="0" applyNumberFormat="1" applyFont="1" applyBorder="1" applyAlignment="1" applyProtection="1">
      <alignment horizontal="center" wrapText="1"/>
    </xf>
    <xf numFmtId="169" fontId="8" fillId="0" borderId="35" xfId="0" applyNumberFormat="1" applyFont="1" applyBorder="1" applyAlignment="1" applyProtection="1">
      <alignment horizontal="center"/>
    </xf>
    <xf numFmtId="169" fontId="8" fillId="0" borderId="34" xfId="0" applyNumberFormat="1" applyFont="1" applyBorder="1" applyAlignment="1" applyProtection="1">
      <alignment horizontal="center"/>
    </xf>
    <xf numFmtId="2" fontId="12" fillId="5" borderId="36" xfId="0" applyNumberFormat="1" applyFont="1" applyFill="1" applyBorder="1" applyAlignment="1" applyProtection="1">
      <alignment horizontal="center"/>
    </xf>
    <xf numFmtId="0" fontId="7" fillId="2" borderId="22" xfId="0" applyFont="1" applyFill="1" applyBorder="1" applyAlignment="1" applyProtection="1">
      <alignment horizontal="left" vertical="center"/>
    </xf>
    <xf numFmtId="0" fontId="6" fillId="0" borderId="1" xfId="0" applyFont="1" applyBorder="1" applyAlignment="1" applyProtection="1">
      <alignment horizontal="left" vertical="center"/>
    </xf>
    <xf numFmtId="0" fontId="7" fillId="3" borderId="38" xfId="0" applyFont="1" applyFill="1" applyBorder="1" applyAlignment="1" applyProtection="1">
      <alignment horizontal="center" vertical="center"/>
    </xf>
    <xf numFmtId="0" fontId="8" fillId="3" borderId="14" xfId="0" applyFont="1" applyFill="1" applyBorder="1" applyAlignment="1" applyProtection="1">
      <alignment horizontal="center" vertical="center"/>
    </xf>
    <xf numFmtId="165" fontId="6" fillId="2" borderId="20" xfId="0" applyNumberFormat="1" applyFont="1" applyFill="1" applyBorder="1" applyAlignment="1" applyProtection="1">
      <alignment horizontal="center" vertical="center"/>
    </xf>
    <xf numFmtId="0" fontId="14" fillId="0" borderId="32" xfId="0" applyFont="1" applyBorder="1" applyAlignment="1" applyProtection="1">
      <alignment horizontal="center" vertical="center"/>
    </xf>
    <xf numFmtId="167" fontId="0" fillId="0" borderId="20" xfId="0" applyNumberFormat="1" applyBorder="1" applyAlignment="1" applyProtection="1">
      <alignment horizontal="center"/>
    </xf>
    <xf numFmtId="166" fontId="6" fillId="0" borderId="20" xfId="1" applyNumberFormat="1" applyFont="1" applyBorder="1" applyAlignment="1" applyProtection="1">
      <alignment horizontal="center" vertical="center"/>
    </xf>
    <xf numFmtId="0" fontId="7" fillId="3" borderId="37" xfId="0" applyFont="1" applyFill="1" applyBorder="1" applyAlignment="1" applyProtection="1">
      <alignment horizontal="center" vertical="center"/>
    </xf>
    <xf numFmtId="0" fontId="10" fillId="4" borderId="16" xfId="0" applyFont="1" applyFill="1" applyBorder="1" applyAlignment="1" applyProtection="1">
      <alignment horizontal="right" vertical="center" textRotation="255"/>
    </xf>
    <xf numFmtId="170" fontId="13" fillId="0" borderId="20" xfId="0" applyNumberFormat="1" applyFont="1" applyBorder="1" applyAlignment="1" applyProtection="1">
      <alignment horizontal="center" vertical="center"/>
    </xf>
    <xf numFmtId="0" fontId="8" fillId="3" borderId="14" xfId="0" applyFont="1" applyFill="1" applyBorder="1" applyAlignment="1" applyProtection="1">
      <alignment horizontal="center" vertical="center" wrapText="1"/>
    </xf>
    <xf numFmtId="0" fontId="7" fillId="0" borderId="25" xfId="0" applyNumberFormat="1" applyFont="1" applyBorder="1" applyAlignment="1" applyProtection="1">
      <alignment horizontal="left"/>
    </xf>
    <xf numFmtId="0" fontId="7" fillId="0" borderId="25" xfId="0" applyFont="1" applyBorder="1" applyAlignment="1" applyProtection="1">
      <alignment horizontal="left"/>
    </xf>
    <xf numFmtId="0" fontId="7" fillId="2" borderId="23" xfId="0" applyFont="1" applyFill="1" applyBorder="1" applyAlignment="1" applyProtection="1">
      <alignment horizontal="left" vertical="center"/>
    </xf>
    <xf numFmtId="0" fontId="7" fillId="2" borderId="33" xfId="0" applyFont="1" applyFill="1" applyBorder="1" applyAlignment="1" applyProtection="1">
      <alignment horizontal="right" vertical="top" wrapText="1"/>
    </xf>
    <xf numFmtId="0" fontId="15" fillId="2" borderId="39" xfId="0" applyFont="1" applyFill="1" applyBorder="1" applyAlignment="1" applyProtection="1">
      <alignment horizontal="right"/>
    </xf>
    <xf numFmtId="0" fontId="9" fillId="3" borderId="14" xfId="0" applyFont="1" applyFill="1" applyBorder="1" applyAlignment="1" applyProtection="1">
      <alignment horizontal="center" vertical="center"/>
    </xf>
    <xf numFmtId="0" fontId="7" fillId="0" borderId="24" xfId="0" applyFont="1" applyBorder="1" applyAlignment="1" applyProtection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9C9C9"/>
      <rgbColor rgb="00808080"/>
      <rgbColor rgb="008FAADC"/>
      <rgbColor rgb="00993366"/>
      <rgbColor rgb="00F2F2F2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B0F0"/>
      <rgbColor rgb="00CCFFFF"/>
      <rgbColor rgb="00CCFFCC"/>
      <rgbColor rgb="00FFD966"/>
      <rgbColor rgb="009DC3E6"/>
      <rgbColor rgb="00F4B183"/>
      <rgbColor rgb="00AFABAB"/>
      <rgbColor rgb="00F8CBAD"/>
      <rgbColor rgb="002E75B6"/>
      <rgbColor rgb="0033CCCC"/>
      <rgbColor rgb="0092D050"/>
      <rgbColor rgb="00FFCC00"/>
      <rgbColor rgb="00FF9900"/>
      <rgbColor rgb="00FF6600"/>
      <rgbColor rgb="00666699"/>
      <rgbColor rgb="00A6A6A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1"/>
  <sheetViews>
    <sheetView zoomScale="90" zoomScaleNormal="90" workbookViewId="0">
      <selection activeCell="F10" sqref="F10"/>
    </sheetView>
  </sheetViews>
  <sheetFormatPr defaultColWidth="8.5546875" defaultRowHeight="14.4"/>
  <cols>
    <col min="1" max="1" width="3.109375" style="1" customWidth="1"/>
    <col min="2" max="2" width="4.33203125" style="1" hidden="1" customWidth="1"/>
    <col min="3" max="3" width="20" style="1" customWidth="1"/>
    <col min="4" max="4" width="19.5546875" style="1" customWidth="1"/>
    <col min="5" max="5" width="23" style="1" customWidth="1"/>
    <col min="6" max="6" width="37.88671875" style="1" customWidth="1"/>
    <col min="7" max="7" width="26.88671875" style="1" customWidth="1"/>
    <col min="8" max="8" width="5.44140625" style="1" customWidth="1"/>
    <col min="9" max="9" width="16.5546875" style="1" customWidth="1"/>
    <col min="10" max="10" width="20.33203125" style="1" customWidth="1"/>
    <col min="11" max="11" width="18.6640625" style="1" customWidth="1"/>
    <col min="12" max="12" width="21" style="1" customWidth="1"/>
  </cols>
  <sheetData>
    <row r="1" spans="3:12" ht="6" customHeight="1">
      <c r="D1" s="1">
        <v>12</v>
      </c>
    </row>
    <row r="2" spans="3:12" hidden="1"/>
    <row r="3" spans="3:12" ht="23.4">
      <c r="E3" s="32" t="s">
        <v>0</v>
      </c>
      <c r="F3" s="33" t="s">
        <v>1</v>
      </c>
      <c r="G3" s="34" t="s">
        <v>2</v>
      </c>
      <c r="H3" s="35"/>
      <c r="I3"/>
      <c r="J3"/>
      <c r="K3"/>
      <c r="L3"/>
    </row>
    <row r="4" spans="3:12">
      <c r="C4" s="1">
        <v>3</v>
      </c>
      <c r="I4"/>
      <c r="J4"/>
      <c r="K4"/>
      <c r="L4"/>
    </row>
    <row r="5" spans="3:12" ht="36.6">
      <c r="C5" s="36"/>
      <c r="D5" s="37"/>
      <c r="E5" s="38">
        <f>BUILTY!E13</f>
        <v>24.92</v>
      </c>
      <c r="F5" s="39">
        <v>12640</v>
      </c>
      <c r="G5" s="40">
        <f>E5*F5</f>
        <v>314988.80000000005</v>
      </c>
      <c r="H5" s="41"/>
      <c r="I5"/>
      <c r="J5"/>
      <c r="K5"/>
      <c r="L5"/>
    </row>
    <row r="6" spans="3:12" ht="36.6">
      <c r="C6" s="42"/>
      <c r="D6" s="42">
        <v>17</v>
      </c>
      <c r="E6" s="43" t="s">
        <v>3</v>
      </c>
      <c r="F6" s="44" t="s">
        <v>4</v>
      </c>
      <c r="G6" s="45">
        <f>G5*18%</f>
        <v>56697.984000000004</v>
      </c>
      <c r="H6" s="41"/>
      <c r="I6"/>
      <c r="J6"/>
      <c r="K6"/>
      <c r="L6"/>
    </row>
    <row r="7" spans="3:12" ht="36.6">
      <c r="C7" s="46"/>
      <c r="D7" s="46"/>
      <c r="E7" s="47"/>
      <c r="F7" s="44" t="s">
        <v>2</v>
      </c>
      <c r="G7" s="48">
        <f>G5+G6</f>
        <v>371686.78400000004</v>
      </c>
      <c r="H7" s="41"/>
      <c r="I7"/>
      <c r="J7"/>
      <c r="K7"/>
      <c r="L7"/>
    </row>
    <row r="8" spans="3:12" ht="23.4">
      <c r="E8" s="41"/>
      <c r="F8" s="41"/>
      <c r="G8" s="41"/>
      <c r="H8" s="41"/>
      <c r="I8"/>
      <c r="J8"/>
      <c r="K8"/>
      <c r="L8"/>
    </row>
    <row r="9" spans="3:12" ht="33.6">
      <c r="E9" s="49"/>
      <c r="F9" s="41"/>
      <c r="G9" s="41"/>
      <c r="H9" s="41"/>
      <c r="I9"/>
      <c r="J9"/>
      <c r="K9"/>
      <c r="L9"/>
    </row>
    <row r="10" spans="3:12" ht="33.6">
      <c r="E10" s="50"/>
      <c r="I10"/>
      <c r="J10"/>
      <c r="K10"/>
      <c r="L10"/>
    </row>
    <row r="11" spans="3:12" ht="33.6">
      <c r="E11" s="51"/>
      <c r="I11"/>
      <c r="J11"/>
      <c r="K11"/>
      <c r="L11"/>
    </row>
    <row r="12" spans="3:12">
      <c r="F12" s="52"/>
      <c r="I12"/>
      <c r="J12"/>
      <c r="K12"/>
      <c r="L12"/>
    </row>
    <row r="13" spans="3:12">
      <c r="F13" s="53"/>
      <c r="I13"/>
      <c r="J13"/>
      <c r="K13"/>
      <c r="L13"/>
    </row>
    <row r="14" spans="3:12">
      <c r="F14" s="52"/>
      <c r="I14"/>
      <c r="J14"/>
      <c r="K14"/>
      <c r="L14"/>
    </row>
    <row r="15" spans="3:12">
      <c r="I15"/>
      <c r="J15"/>
      <c r="K15"/>
      <c r="L15"/>
    </row>
    <row r="16" spans="3:12">
      <c r="I16"/>
      <c r="J16"/>
      <c r="K16"/>
      <c r="L16"/>
    </row>
    <row r="17" spans="9:12">
      <c r="I17"/>
      <c r="J17"/>
      <c r="K17"/>
      <c r="L17"/>
    </row>
    <row r="18" spans="9:12">
      <c r="I18"/>
      <c r="J18"/>
      <c r="K18"/>
      <c r="L18"/>
    </row>
    <row r="19" spans="9:12">
      <c r="I19"/>
      <c r="J19"/>
      <c r="K19"/>
      <c r="L19"/>
    </row>
    <row r="20" spans="9:12">
      <c r="I20"/>
      <c r="J20"/>
      <c r="K20"/>
      <c r="L20"/>
    </row>
    <row r="21" spans="9:12">
      <c r="I21"/>
      <c r="J21"/>
      <c r="K21"/>
      <c r="L21"/>
    </row>
    <row r="22" spans="9:12">
      <c r="I22"/>
      <c r="J22"/>
      <c r="K22"/>
      <c r="L22"/>
    </row>
    <row r="23" spans="9:12">
      <c r="I23"/>
      <c r="J23"/>
      <c r="K23"/>
      <c r="L23"/>
    </row>
    <row r="24" spans="9:12">
      <c r="I24"/>
      <c r="J24"/>
      <c r="K24"/>
      <c r="L24"/>
    </row>
    <row r="25" spans="9:12">
      <c r="I25"/>
      <c r="J25"/>
      <c r="K25"/>
      <c r="L25"/>
    </row>
    <row r="26" spans="9:12">
      <c r="I26"/>
      <c r="J26"/>
      <c r="K26"/>
      <c r="L26"/>
    </row>
    <row r="27" spans="9:12">
      <c r="I27"/>
      <c r="J27"/>
      <c r="K27"/>
      <c r="L27"/>
    </row>
    <row r="28" spans="9:12">
      <c r="I28"/>
      <c r="J28"/>
      <c r="K28"/>
      <c r="L28"/>
    </row>
    <row r="29" spans="9:12">
      <c r="I29"/>
      <c r="J29"/>
      <c r="K29"/>
      <c r="L29"/>
    </row>
    <row r="30" spans="9:12">
      <c r="I30"/>
      <c r="J30"/>
      <c r="K30"/>
      <c r="L30"/>
    </row>
    <row r="31" spans="9:12">
      <c r="I31"/>
      <c r="J31"/>
      <c r="K31"/>
      <c r="L31"/>
    </row>
  </sheetData>
  <pageMargins left="0.7" right="0.7" top="0.75" bottom="0.7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4"/>
  <sheetViews>
    <sheetView tabSelected="1" zoomScale="85" zoomScaleNormal="85" workbookViewId="0">
      <selection activeCell="K13" sqref="K13:L22"/>
    </sheetView>
  </sheetViews>
  <sheetFormatPr defaultColWidth="8.5546875" defaultRowHeight="14.4"/>
  <cols>
    <col min="3" max="3" width="12.88671875" style="1" customWidth="1"/>
    <col min="4" max="4" width="9.33203125" style="1" customWidth="1"/>
    <col min="6" max="6" width="5.6640625" style="1" customWidth="1"/>
    <col min="7" max="7" width="12" style="1" customWidth="1"/>
    <col min="9" max="9" width="5.6640625" style="1" customWidth="1"/>
    <col min="10" max="10" width="15.109375" style="1" customWidth="1"/>
    <col min="11" max="11" width="8.88671875" style="1" customWidth="1"/>
    <col min="12" max="12" width="21.6640625" style="1" customWidth="1"/>
  </cols>
  <sheetData>
    <row r="1" spans="1:12" ht="23.4">
      <c r="A1" s="2" t="s">
        <v>5</v>
      </c>
      <c r="B1" s="3"/>
      <c r="C1" s="3"/>
      <c r="D1" s="3"/>
      <c r="E1" s="3"/>
      <c r="F1" s="3"/>
      <c r="G1" s="54" t="s">
        <v>6</v>
      </c>
      <c r="H1" s="54"/>
      <c r="I1" s="54"/>
      <c r="J1" s="54"/>
      <c r="K1" s="54"/>
      <c r="L1" s="54"/>
    </row>
    <row r="2" spans="1:12" ht="35.4">
      <c r="A2" s="55" t="s">
        <v>7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</row>
    <row r="3" spans="1:12" ht="18">
      <c r="A3" s="56" t="s">
        <v>8</v>
      </c>
      <c r="B3" s="56"/>
      <c r="C3" s="56"/>
      <c r="D3" s="56"/>
      <c r="E3" s="56"/>
      <c r="F3" s="56"/>
      <c r="G3" s="56"/>
      <c r="H3" s="56"/>
      <c r="I3" s="56"/>
      <c r="J3" s="25" t="s">
        <v>9</v>
      </c>
      <c r="K3" s="57">
        <f ca="1">TODAY()</f>
        <v>45434</v>
      </c>
      <c r="L3" s="57"/>
    </row>
    <row r="4" spans="1:12" ht="18">
      <c r="A4" s="56" t="s">
        <v>10</v>
      </c>
      <c r="B4" s="56"/>
      <c r="C4" s="56"/>
      <c r="D4" s="56"/>
      <c r="E4" s="56"/>
      <c r="F4" s="56"/>
      <c r="G4" s="56"/>
      <c r="H4" s="56"/>
      <c r="I4" s="56"/>
      <c r="J4" s="26" t="s">
        <v>11</v>
      </c>
      <c r="K4" s="58" t="s">
        <v>42</v>
      </c>
      <c r="L4" s="59"/>
    </row>
    <row r="5" spans="1:12" ht="18">
      <c r="A5" s="56" t="s">
        <v>12</v>
      </c>
      <c r="B5" s="56"/>
      <c r="C5" s="56"/>
      <c r="D5" s="56"/>
      <c r="E5" s="56"/>
      <c r="F5" s="56"/>
      <c r="G5" s="56"/>
      <c r="H5" s="56"/>
      <c r="I5" s="56"/>
      <c r="J5" s="26" t="s">
        <v>13</v>
      </c>
      <c r="K5" s="60" t="s">
        <v>43</v>
      </c>
      <c r="L5" s="61"/>
    </row>
    <row r="6" spans="1:12" ht="21">
      <c r="A6" s="62" t="s">
        <v>14</v>
      </c>
      <c r="B6" s="63"/>
      <c r="C6" s="63"/>
      <c r="D6" s="63"/>
      <c r="E6" s="63"/>
      <c r="F6" s="63"/>
      <c r="G6" s="63"/>
      <c r="H6" s="63"/>
      <c r="I6" s="64"/>
      <c r="J6" s="27" t="s">
        <v>15</v>
      </c>
      <c r="K6" s="65" t="s">
        <v>44</v>
      </c>
      <c r="L6" s="65"/>
    </row>
    <row r="7" spans="1:12" ht="18">
      <c r="A7" s="4" t="s">
        <v>16</v>
      </c>
      <c r="B7" s="5"/>
      <c r="C7" s="5"/>
      <c r="D7" s="6" t="s">
        <v>17</v>
      </c>
      <c r="E7" s="7"/>
      <c r="F7" s="7"/>
      <c r="G7" s="7"/>
      <c r="H7" s="7"/>
      <c r="I7" s="28"/>
      <c r="J7" s="66"/>
      <c r="K7" s="66"/>
      <c r="L7" s="66"/>
    </row>
    <row r="8" spans="1:12" ht="15.6">
      <c r="A8" s="67" t="s">
        <v>18</v>
      </c>
      <c r="B8" s="67"/>
      <c r="C8" s="67"/>
      <c r="D8" s="8" t="s">
        <v>19</v>
      </c>
      <c r="E8" s="9"/>
      <c r="F8" s="9"/>
      <c r="G8" s="9"/>
      <c r="H8" s="9"/>
      <c r="I8" s="28"/>
      <c r="J8" s="73" t="s">
        <v>20</v>
      </c>
      <c r="K8" s="68">
        <v>371769932780</v>
      </c>
      <c r="L8" s="69"/>
    </row>
    <row r="9" spans="1:12" ht="15.6">
      <c r="A9" s="10" t="s">
        <v>21</v>
      </c>
      <c r="B9" s="11"/>
      <c r="C9" s="11"/>
      <c r="D9" s="8" t="s">
        <v>22</v>
      </c>
      <c r="E9" s="9"/>
      <c r="F9" s="9"/>
      <c r="G9" s="9"/>
      <c r="H9" s="9"/>
      <c r="I9" s="28"/>
      <c r="J9" s="73"/>
      <c r="K9" s="70">
        <v>361769963703</v>
      </c>
      <c r="L9" s="69"/>
    </row>
    <row r="10" spans="1:12" ht="15.6">
      <c r="A10" s="12" t="s">
        <v>23</v>
      </c>
      <c r="B10" s="13"/>
      <c r="C10" s="13"/>
      <c r="D10" s="14" t="s">
        <v>24</v>
      </c>
      <c r="E10" s="15"/>
      <c r="F10" s="15"/>
      <c r="G10" s="15"/>
      <c r="H10" s="15"/>
      <c r="I10" s="29"/>
      <c r="J10" s="30" t="s">
        <v>25</v>
      </c>
      <c r="K10" s="71">
        <f>Sheet2!G7</f>
        <v>371686.78400000004</v>
      </c>
      <c r="L10" s="71"/>
    </row>
    <row r="11" spans="1:12" ht="14.25" customHeight="1">
      <c r="A11" s="16" t="s">
        <v>26</v>
      </c>
      <c r="B11" s="89" t="s">
        <v>27</v>
      </c>
      <c r="C11" s="89"/>
      <c r="D11" s="89"/>
      <c r="E11" s="83" t="s">
        <v>28</v>
      </c>
      <c r="F11" s="83"/>
      <c r="G11" s="75" t="s">
        <v>29</v>
      </c>
      <c r="H11" s="75" t="s">
        <v>30</v>
      </c>
      <c r="I11" s="75"/>
      <c r="J11" s="80" t="s">
        <v>31</v>
      </c>
      <c r="K11" s="74" t="s">
        <v>32</v>
      </c>
      <c r="L11" s="74"/>
    </row>
    <row r="12" spans="1:12">
      <c r="A12" s="17" t="s">
        <v>33</v>
      </c>
      <c r="B12" s="89"/>
      <c r="C12" s="89"/>
      <c r="D12" s="89"/>
      <c r="E12" s="83"/>
      <c r="F12" s="83"/>
      <c r="G12" s="75"/>
      <c r="H12" s="75"/>
      <c r="I12" s="75"/>
      <c r="J12" s="80"/>
      <c r="K12" s="74"/>
      <c r="L12" s="74"/>
    </row>
    <row r="13" spans="1:12" ht="18" customHeight="1">
      <c r="A13" s="81" t="s">
        <v>34</v>
      </c>
      <c r="B13" s="18"/>
      <c r="C13" s="19"/>
      <c r="D13" s="20"/>
      <c r="E13" s="76">
        <v>24.92</v>
      </c>
      <c r="F13" s="76"/>
      <c r="G13" s="79">
        <v>500</v>
      </c>
      <c r="H13" s="78"/>
      <c r="I13" s="78"/>
      <c r="J13" s="82" t="s">
        <v>35</v>
      </c>
      <c r="K13" s="77"/>
      <c r="L13" s="77"/>
    </row>
    <row r="14" spans="1:12" ht="14.25" customHeight="1">
      <c r="A14" s="81"/>
      <c r="B14" s="21"/>
      <c r="C14" s="22"/>
      <c r="D14" s="23"/>
      <c r="E14" s="76"/>
      <c r="F14" s="76"/>
      <c r="G14" s="79"/>
      <c r="H14" s="78"/>
      <c r="I14" s="78"/>
      <c r="J14" s="82"/>
      <c r="K14" s="77"/>
      <c r="L14" s="77"/>
    </row>
    <row r="15" spans="1:12" ht="14.25" customHeight="1">
      <c r="A15" s="81"/>
      <c r="B15" s="21"/>
      <c r="C15" s="22"/>
      <c r="D15" s="23"/>
      <c r="E15" s="76"/>
      <c r="F15" s="76"/>
      <c r="G15" s="79"/>
      <c r="H15" s="78"/>
      <c r="I15" s="78"/>
      <c r="J15" s="82"/>
      <c r="K15" s="77"/>
      <c r="L15" s="77"/>
    </row>
    <row r="16" spans="1:12" ht="14.25" customHeight="1">
      <c r="A16" s="81"/>
      <c r="B16" s="21"/>
      <c r="C16" s="22"/>
      <c r="D16" s="23"/>
      <c r="E16" s="76"/>
      <c r="F16" s="76"/>
      <c r="G16" s="79"/>
      <c r="H16" s="78"/>
      <c r="I16" s="78"/>
      <c r="J16" s="82"/>
      <c r="K16" s="77"/>
      <c r="L16" s="77"/>
    </row>
    <row r="17" spans="1:12" ht="14.25" customHeight="1">
      <c r="A17" s="81"/>
      <c r="B17" s="21"/>
      <c r="C17" s="24"/>
      <c r="D17" s="23"/>
      <c r="E17" s="76"/>
      <c r="F17" s="76"/>
      <c r="G17" s="79"/>
      <c r="H17" s="78"/>
      <c r="I17" s="78"/>
      <c r="J17" s="82"/>
      <c r="K17" s="77"/>
      <c r="L17" s="77"/>
    </row>
    <row r="18" spans="1:12" ht="14.25" customHeight="1">
      <c r="A18" s="81"/>
      <c r="B18" s="21"/>
      <c r="C18" s="22"/>
      <c r="D18" s="23"/>
      <c r="E18" s="76"/>
      <c r="F18" s="76"/>
      <c r="G18" s="79"/>
      <c r="H18" s="78"/>
      <c r="I18" s="78"/>
      <c r="J18" s="82"/>
      <c r="K18" s="77"/>
      <c r="L18" s="77"/>
    </row>
    <row r="19" spans="1:12" ht="14.25" customHeight="1">
      <c r="A19" s="81"/>
      <c r="B19" s="21"/>
      <c r="C19" s="22" t="s">
        <v>36</v>
      </c>
      <c r="D19" s="23"/>
      <c r="E19" s="76"/>
      <c r="F19" s="76"/>
      <c r="G19" s="79"/>
      <c r="H19" s="78"/>
      <c r="I19" s="78"/>
      <c r="J19" s="82"/>
      <c r="K19" s="77"/>
      <c r="L19" s="77"/>
    </row>
    <row r="20" spans="1:12" ht="60.75" customHeight="1">
      <c r="A20" s="81"/>
      <c r="B20" s="21"/>
      <c r="C20" s="24"/>
      <c r="D20" s="23"/>
      <c r="E20" s="76"/>
      <c r="F20" s="76"/>
      <c r="G20" s="79"/>
      <c r="H20" s="78"/>
      <c r="I20" s="78"/>
      <c r="J20" s="82"/>
      <c r="K20" s="77"/>
      <c r="L20" s="77"/>
    </row>
    <row r="21" spans="1:12" ht="14.25" customHeight="1">
      <c r="A21" s="81"/>
      <c r="B21" s="72" t="s">
        <v>37</v>
      </c>
      <c r="C21" s="72"/>
      <c r="D21" s="72"/>
      <c r="E21" s="76"/>
      <c r="F21" s="76"/>
      <c r="G21" s="79"/>
      <c r="H21" s="78"/>
      <c r="I21" s="78"/>
      <c r="J21" s="82"/>
      <c r="K21" s="77"/>
      <c r="L21" s="77"/>
    </row>
    <row r="22" spans="1:12" ht="18" customHeight="1">
      <c r="A22" s="81"/>
      <c r="B22" s="86" t="s">
        <v>38</v>
      </c>
      <c r="C22" s="86"/>
      <c r="D22" s="86"/>
      <c r="E22" s="76"/>
      <c r="F22" s="76"/>
      <c r="G22" s="79"/>
      <c r="H22" s="78"/>
      <c r="I22" s="78"/>
      <c r="J22" s="82"/>
      <c r="K22" s="77"/>
      <c r="L22" s="77"/>
    </row>
    <row r="23" spans="1:12" ht="21" customHeight="1">
      <c r="A23" s="90" t="s">
        <v>39</v>
      </c>
      <c r="B23" s="90"/>
      <c r="C23" s="90"/>
      <c r="D23" s="90"/>
      <c r="E23" s="84"/>
      <c r="F23" s="85"/>
      <c r="G23" s="85"/>
      <c r="H23" s="85"/>
      <c r="I23" s="85"/>
      <c r="J23" s="87" t="s">
        <v>40</v>
      </c>
      <c r="K23" s="87"/>
      <c r="L23" s="87"/>
    </row>
    <row r="24" spans="1:12">
      <c r="A24" s="90"/>
      <c r="B24" s="90"/>
      <c r="C24" s="90"/>
      <c r="D24" s="90"/>
      <c r="E24" s="85"/>
      <c r="F24" s="85"/>
      <c r="G24" s="85"/>
      <c r="H24" s="85"/>
      <c r="I24" s="85"/>
      <c r="J24" s="31"/>
      <c r="K24" s="88" t="s">
        <v>41</v>
      </c>
      <c r="L24" s="88"/>
    </row>
  </sheetData>
  <mergeCells count="34">
    <mergeCell ref="E11:F12"/>
    <mergeCell ref="E23:I24"/>
    <mergeCell ref="B22:D22"/>
    <mergeCell ref="J23:L23"/>
    <mergeCell ref="K24:L24"/>
    <mergeCell ref="B11:D12"/>
    <mergeCell ref="A23:D24"/>
    <mergeCell ref="A8:C8"/>
    <mergeCell ref="K8:L8"/>
    <mergeCell ref="K9:L9"/>
    <mergeCell ref="K10:L10"/>
    <mergeCell ref="B21:D21"/>
    <mergeCell ref="J8:J9"/>
    <mergeCell ref="K11:L12"/>
    <mergeCell ref="H11:I12"/>
    <mergeCell ref="E13:F22"/>
    <mergeCell ref="K13:L22"/>
    <mergeCell ref="H13:I22"/>
    <mergeCell ref="G11:G12"/>
    <mergeCell ref="G13:G22"/>
    <mergeCell ref="J11:J12"/>
    <mergeCell ref="A13:A22"/>
    <mergeCell ref="J13:J22"/>
    <mergeCell ref="A5:I5"/>
    <mergeCell ref="K5:L5"/>
    <mergeCell ref="A6:I6"/>
    <mergeCell ref="K6:L6"/>
    <mergeCell ref="J7:L7"/>
    <mergeCell ref="G1:L1"/>
    <mergeCell ref="A2:L2"/>
    <mergeCell ref="A3:I3"/>
    <mergeCell ref="K3:L3"/>
    <mergeCell ref="A4:I4"/>
    <mergeCell ref="K4:L4"/>
  </mergeCells>
  <pageMargins left="0.7" right="0.7" top="0.75" bottom="0.75" header="0.511811023622047" footer="0.511811023622047"/>
  <pageSetup paperSize="9"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BUILTY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hardev singh</dc:creator>
  <cp:lastModifiedBy>admin</cp:lastModifiedBy>
  <cp:revision>105</cp:revision>
  <cp:lastPrinted>2024-05-22T14:54:40Z</cp:lastPrinted>
  <dcterms:created xsi:type="dcterms:W3CDTF">2015-06-05T18:17:00Z</dcterms:created>
  <dcterms:modified xsi:type="dcterms:W3CDTF">2024-05-22T14:59:26Z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7567BCB331174374BAD2DBA8A2BE91B4</vt:lpwstr>
  </property>
  <property fmtid="{D5CDD505-2E9C-101B-9397-08002B2CF9AE}" pid="3" name="KSOProductBuildVer">
    <vt:lpwstr>1033-12.2.0.16909</vt:lpwstr>
  </property>
</Properties>
</file>