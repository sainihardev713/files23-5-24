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188" windowHeight="9000" tabRatio="500" activeTab="1"/>
  </bookViews>
  <sheets>
    <sheet name="Sheet2" sheetId="1" r:id="rId1"/>
    <sheet name="BUILT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<sst xmlns="http://schemas.openxmlformats.org/spreadsheetml/2006/main" count="45" uniqueCount="42">
  <si>
    <t>TRUCK WEIGHT</t>
  </si>
  <si>
    <t>COKE RATE</t>
  </si>
  <si>
    <t>TOTAL</t>
  </si>
  <si>
    <t>GROSS</t>
  </si>
  <si>
    <t>TARE</t>
  </si>
  <si>
    <t>IGST 5%</t>
  </si>
  <si>
    <t>+ CESS</t>
  </si>
  <si>
    <t>ARC</t>
  </si>
  <si>
    <t>PHONE: 9816029027     DUMP: 9463651769, 7589005270, 6284543114</t>
  </si>
  <si>
    <t>Associated  Road  Carriers</t>
  </si>
  <si>
    <t>H.O. : SCO-9/20 COM.  COMPLEX  CUSUMPATI SHIMLA</t>
  </si>
  <si>
    <t>DATE</t>
  </si>
  <si>
    <t>B.O. CEAT HUB MOTOR MARKET BERI, DISTT. BILASPUR(H.P)</t>
  </si>
  <si>
    <t>G.R. NO.</t>
  </si>
  <si>
    <t>COAL 00731</t>
  </si>
  <si>
    <t>DRY BULK TERMINAL- TERA, 24 GUJARAT</t>
  </si>
  <si>
    <t>TRUCK NO.</t>
  </si>
  <si>
    <t>HP11C-0687</t>
  </si>
  <si>
    <r>
      <rPr>
        <sz val="14"/>
        <color rgb="FF000000"/>
        <rFont val="Calibri"/>
        <charset val="134"/>
      </rPr>
      <t xml:space="preserve">FROM </t>
    </r>
    <r>
      <rPr>
        <i/>
        <u/>
        <sz val="14"/>
        <color rgb="FF000000"/>
        <rFont val="Calibri"/>
        <charset val="134"/>
      </rPr>
      <t>KAULI SIDING</t>
    </r>
    <r>
      <rPr>
        <sz val="14"/>
        <color rgb="FF000000"/>
        <rFont val="Calibri"/>
        <charset val="134"/>
      </rPr>
      <t xml:space="preserve">  TO  </t>
    </r>
    <r>
      <rPr>
        <i/>
        <u/>
        <sz val="14"/>
        <color rgb="FF000000"/>
        <rFont val="Calibri"/>
        <charset val="134"/>
      </rPr>
      <t>BAGA  (H.P)</t>
    </r>
  </si>
  <si>
    <t>R.R. NO.</t>
  </si>
  <si>
    <t>CONSIGNOR</t>
  </si>
  <si>
    <t>CONSIGNEE</t>
  </si>
  <si>
    <t>ADDRESS : M/S ULTRATECH CEMENT LTD.</t>
  </si>
  <si>
    <t>E-WAY:</t>
  </si>
  <si>
    <t>BAGGA CEMENT WORKS, BAGGA, DIST.SOLAN (H.P.)</t>
  </si>
  <si>
    <t>GSTIN NO. 02AAACL6442L2ZL</t>
  </si>
  <si>
    <t>VALUE :</t>
  </si>
  <si>
    <t>NO. OF</t>
  </si>
  <si>
    <t>GOODS AS SOLD TO BE CONTAINED</t>
  </si>
  <si>
    <t>ACTUAL WT. (MTS)</t>
  </si>
  <si>
    <t>RATE</t>
  </si>
  <si>
    <t>TOTAL FREIGHT</t>
  </si>
  <si>
    <t>ADVANCE</t>
  </si>
  <si>
    <t>ARTICLE</t>
  </si>
  <si>
    <t>LOOSE</t>
  </si>
  <si>
    <t>NO INSURED OWNER'S RISK</t>
  </si>
  <si>
    <t>IMP COAL USA</t>
  </si>
  <si>
    <t>DISP. TIME  :</t>
  </si>
  <si>
    <t>REACH TIME:  16.00HRS</t>
  </si>
  <si>
    <t>SIGNATURE OF CONSIGNEE</t>
  </si>
  <si>
    <t>FOR ASSOCIATED ROAD CARRIERS</t>
  </si>
  <si>
    <t>SIMRAN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</si>
</sst>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176" formatCode="_ * #,##0.00_ ;_ * \-#,##0.00_ ;_ * &quot;-&quot;??_ ;_ @_ "/>
    <numFmt numFmtId="177" formatCode="_ &quot;₹ &quot;* #,##0.00_ ;_ &quot;₹ &quot;* \-#,##0.00_ ;_ &quot;₹ &quot;* \-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00"/>
    <numFmt numFmtId="181" formatCode="_ &quot;₹ &quot;* #,##0_ ;_ &quot;₹ &quot;* \-#,##0_ ;_ &quot;₹ &quot;* \-??_ ;_ @_ "/>
    <numFmt numFmtId="182" formatCode="dd/mm/yyyy"/>
    <numFmt numFmtId="183" formatCode="0000\ 0000\ 0000"/>
    <numFmt numFmtId="184" formatCode="&quot;₹ &quot;#,##0.00"/>
    <numFmt numFmtId="185" formatCode="0.0"/>
  </numFmts>
  <fonts count="41">
    <font>
      <sz val="11"/>
      <color rgb="FF000000"/>
      <name val="Calibri"/>
      <charset val="1"/>
    </font>
    <font>
      <b/>
      <sz val="18"/>
      <color rgb="FF000000"/>
      <name val="Bookman Old Style"/>
      <charset val="134"/>
    </font>
    <font>
      <sz val="18"/>
      <color rgb="FF000000"/>
      <name val="Calibri"/>
      <charset val="134"/>
    </font>
    <font>
      <b/>
      <i/>
      <u/>
      <sz val="11"/>
      <color rgb="FF000000"/>
      <name val="Calibri"/>
      <charset val="134"/>
    </font>
    <font>
      <b/>
      <sz val="28"/>
      <color rgb="FF000000"/>
      <name val="Bookman Old Style"/>
      <charset val="134"/>
    </font>
    <font>
      <b/>
      <u/>
      <sz val="14"/>
      <color rgb="FF000000"/>
      <name val="Calibri"/>
      <charset val="134"/>
    </font>
    <font>
      <b/>
      <sz val="12"/>
      <color rgb="FF000000"/>
      <name val="Calibri"/>
      <charset val="134"/>
    </font>
    <font>
      <sz val="14"/>
      <color rgb="FF000000"/>
      <name val="Calibri"/>
      <charset val="134"/>
    </font>
    <font>
      <b/>
      <sz val="14"/>
      <color rgb="FF000000"/>
      <name val="Calibri"/>
      <charset val="134"/>
    </font>
    <font>
      <b/>
      <sz val="11"/>
      <color rgb="FF000000"/>
      <name val="Calibri"/>
      <charset val="134"/>
    </font>
    <font>
      <b/>
      <sz val="10"/>
      <color rgb="FF000000"/>
      <name val="Calibri"/>
      <charset val="134"/>
    </font>
    <font>
      <b/>
      <sz val="26"/>
      <color rgb="FF000000"/>
      <name val="Calibri"/>
      <charset val="134"/>
    </font>
    <font>
      <b/>
      <sz val="16"/>
      <color rgb="FF000000"/>
      <name val="Calibri"/>
      <charset val="134"/>
    </font>
    <font>
      <b/>
      <u/>
      <sz val="12"/>
      <color rgb="FF000000"/>
      <name val="Calibri"/>
      <charset val="134"/>
    </font>
    <font>
      <b/>
      <u/>
      <sz val="11"/>
      <color rgb="FF000000"/>
      <name val="Calibri"/>
      <charset val="134"/>
    </font>
    <font>
      <b/>
      <i/>
      <sz val="11"/>
      <color rgb="FF000000"/>
      <name val="Calibri"/>
      <charset val="134"/>
    </font>
    <font>
      <b/>
      <sz val="18"/>
      <color rgb="FF000000"/>
      <name val="Calibri"/>
      <charset val="134"/>
    </font>
    <font>
      <sz val="28"/>
      <color rgb="FF000000"/>
      <name val="Calibri"/>
      <charset val="134"/>
    </font>
    <font>
      <b/>
      <sz val="28"/>
      <color rgb="FF000000"/>
      <name val="Calibri"/>
      <charset val="134"/>
    </font>
    <font>
      <sz val="11"/>
      <color theme="1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i/>
      <u/>
      <sz val="14"/>
      <color rgb="FF000000"/>
      <name val="Calibri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D9D9D9"/>
        <bgColor rgb="FFC9C9C9"/>
      </patternFill>
    </fill>
    <fill>
      <patternFill patternType="solid">
        <fgColor rgb="FFA6A6A6"/>
        <bgColor rgb="FFAFABAB"/>
      </patternFill>
    </fill>
    <fill>
      <patternFill patternType="solid">
        <fgColor theme="0"/>
        <bgColor indexed="64"/>
      </patternFill>
    </fill>
    <fill>
      <patternFill patternType="solid">
        <fgColor rgb="FFF4B183"/>
        <bgColor rgb="FFF8CBAD"/>
      </patternFill>
    </fill>
    <fill>
      <patternFill patternType="solid">
        <fgColor rgb="FF9DC3E6"/>
        <bgColor rgb="FF8FAADC"/>
      </patternFill>
    </fill>
    <fill>
      <patternFill patternType="solid">
        <fgColor rgb="FFFFD966"/>
        <bgColor rgb="FFF8CBAD"/>
      </patternFill>
    </fill>
    <fill>
      <patternFill patternType="solid">
        <fgColor rgb="FF92D050"/>
        <bgColor rgb="FFAFABAB"/>
      </patternFill>
    </fill>
    <fill>
      <patternFill patternType="solid">
        <fgColor rgb="FF2E75B6"/>
        <bgColor rgb="FF0066CC"/>
      </patternFill>
    </fill>
    <fill>
      <patternFill patternType="solid">
        <fgColor rgb="FF00B050"/>
        <bgColor rgb="FF00808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9" fillId="0" borderId="0" applyFont="0" applyFill="0" applyBorder="0" applyAlignment="0" applyProtection="0">
      <alignment vertical="center"/>
    </xf>
    <xf numFmtId="177" fontId="20" fillId="0" borderId="0" applyBorder="0" applyProtection="0"/>
    <xf numFmtId="9" fontId="19" fillId="0" borderId="0" applyFont="0" applyFill="0" applyBorder="0" applyAlignment="0" applyProtection="0">
      <alignment vertical="center"/>
    </xf>
    <xf numFmtId="178" fontId="19" fillId="0" borderId="0" applyFont="0" applyFill="0" applyBorder="0" applyAlignment="0" applyProtection="0">
      <alignment vertical="center"/>
    </xf>
    <xf numFmtId="179" fontId="19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13" borderId="45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46" applyNumberFormat="0" applyFill="0" applyAlignment="0" applyProtection="0">
      <alignment vertical="center"/>
    </xf>
    <xf numFmtId="0" fontId="27" fillId="0" borderId="46" applyNumberFormat="0" applyFill="0" applyAlignment="0" applyProtection="0">
      <alignment vertical="center"/>
    </xf>
    <xf numFmtId="0" fontId="28" fillId="0" borderId="4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4" borderId="48" applyNumberFormat="0" applyAlignment="0" applyProtection="0">
      <alignment vertical="center"/>
    </xf>
    <xf numFmtId="0" fontId="30" fillId="15" borderId="49" applyNumberFormat="0" applyAlignment="0" applyProtection="0">
      <alignment vertical="center"/>
    </xf>
    <xf numFmtId="0" fontId="31" fillId="15" borderId="48" applyNumberFormat="0" applyAlignment="0" applyProtection="0">
      <alignment vertical="center"/>
    </xf>
    <xf numFmtId="0" fontId="32" fillId="16" borderId="50" applyNumberFormat="0" applyAlignment="0" applyProtection="0">
      <alignment vertical="center"/>
    </xf>
    <xf numFmtId="0" fontId="33" fillId="0" borderId="51" applyNumberFormat="0" applyFill="0" applyAlignment="0" applyProtection="0">
      <alignment vertical="center"/>
    </xf>
    <xf numFmtId="0" fontId="34" fillId="0" borderId="52" applyNumberFormat="0" applyFill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39" fillId="42" borderId="0" applyNumberFormat="0" applyBorder="0" applyAlignment="0" applyProtection="0">
      <alignment vertical="center"/>
    </xf>
    <xf numFmtId="0" fontId="38" fillId="43" borderId="0" applyNumberFormat="0" applyBorder="0" applyAlignment="0" applyProtection="0">
      <alignment vertical="center"/>
    </xf>
  </cellStyleXfs>
  <cellXfs count="80">
    <xf numFmtId="0" fontId="0" fillId="0" borderId="0" xfId="0"/>
    <xf numFmtId="0" fontId="0" fillId="0" borderId="0" xfId="0" applyAlignment="1" applyProtection="1"/>
    <xf numFmtId="0" fontId="1" fillId="0" borderId="1" xfId="0" applyFont="1" applyBorder="1" applyAlignment="1" applyProtection="1"/>
    <xf numFmtId="0" fontId="2" fillId="0" borderId="2" xfId="0" applyFont="1" applyBorder="1" applyAlignment="1" applyProtection="1"/>
    <xf numFmtId="0" fontId="3" fillId="0" borderId="3" xfId="0" applyFont="1" applyBorder="1" applyAlignment="1" applyProtection="1">
      <alignment horizontal="right"/>
    </xf>
    <xf numFmtId="0" fontId="4" fillId="2" borderId="4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/>
    </xf>
    <xf numFmtId="0" fontId="6" fillId="0" borderId="6" xfId="0" applyFont="1" applyBorder="1" applyAlignment="1" applyProtection="1">
      <alignment horizontal="left" vertical="center"/>
    </xf>
    <xf numFmtId="0" fontId="6" fillId="0" borderId="7" xfId="0" applyFont="1" applyBorder="1" applyAlignment="1" applyProtection="1">
      <alignment horizontal="left" vertical="center"/>
    </xf>
    <xf numFmtId="0" fontId="6" fillId="0" borderId="8" xfId="0" applyFont="1" applyBorder="1" applyAlignment="1" applyProtection="1">
      <alignment horizontal="left" vertical="center"/>
    </xf>
    <xf numFmtId="0" fontId="7" fillId="0" borderId="9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6" fillId="0" borderId="10" xfId="0" applyFont="1" applyBorder="1" applyAlignment="1" applyProtection="1">
      <alignment horizontal="left" vertical="center"/>
    </xf>
    <xf numFmtId="0" fontId="5" fillId="0" borderId="5" xfId="0" applyFont="1" applyBorder="1" applyAlignment="1" applyProtection="1"/>
    <xf numFmtId="0" fontId="5" fillId="0" borderId="0" xfId="0" applyFont="1" applyBorder="1" applyAlignment="1" applyProtection="1"/>
    <xf numFmtId="0" fontId="0" fillId="0" borderId="0" xfId="0" applyBorder="1" applyAlignment="1" applyProtection="1"/>
    <xf numFmtId="0" fontId="5" fillId="0" borderId="11" xfId="0" applyFont="1" applyBorder="1" applyAlignment="1" applyProtection="1"/>
    <xf numFmtId="0" fontId="8" fillId="0" borderId="0" xfId="0" applyFont="1" applyBorder="1" applyAlignment="1" applyProtection="1"/>
    <xf numFmtId="0" fontId="0" fillId="0" borderId="12" xfId="0" applyBorder="1" applyAlignment="1" applyProtection="1">
      <alignment horizontal="center"/>
    </xf>
    <xf numFmtId="0" fontId="9" fillId="0" borderId="5" xfId="0" applyFont="1" applyBorder="1" applyAlignment="1" applyProtection="1">
      <alignment horizontal="left" vertical="center"/>
    </xf>
    <xf numFmtId="0" fontId="9" fillId="0" borderId="13" xfId="0" applyFont="1" applyBorder="1" applyAlignment="1" applyProtection="1"/>
    <xf numFmtId="0" fontId="9" fillId="0" borderId="0" xfId="0" applyFont="1" applyBorder="1" applyAlignment="1" applyProtection="1"/>
    <xf numFmtId="0" fontId="9" fillId="0" borderId="14" xfId="0" applyFont="1" applyBorder="1" applyAlignment="1" applyProtection="1"/>
    <xf numFmtId="0" fontId="8" fillId="0" borderId="1" xfId="0" applyFont="1" applyBorder="1" applyAlignment="1" applyProtection="1">
      <alignment horizontal="left" vertical="center"/>
    </xf>
    <xf numFmtId="0" fontId="9" fillId="0" borderId="15" xfId="0" applyFont="1" applyBorder="1" applyAlignment="1" applyProtection="1">
      <alignment horizontal="left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6" fillId="3" borderId="10" xfId="0" applyFont="1" applyFill="1" applyBorder="1" applyAlignment="1" applyProtection="1"/>
    <xf numFmtId="0" fontId="9" fillId="4" borderId="18" xfId="0" applyFont="1" applyFill="1" applyBorder="1" applyAlignment="1" applyProtection="1">
      <alignment horizontal="center"/>
    </xf>
    <xf numFmtId="0" fontId="10" fillId="4" borderId="19" xfId="0" applyFont="1" applyFill="1" applyBorder="1" applyAlignment="1" applyProtection="1">
      <alignment horizontal="center" vertical="center"/>
    </xf>
    <xf numFmtId="0" fontId="9" fillId="4" borderId="19" xfId="0" applyFont="1" applyFill="1" applyBorder="1" applyAlignment="1" applyProtection="1">
      <alignment horizontal="center" vertical="center" wrapText="1"/>
    </xf>
    <xf numFmtId="0" fontId="9" fillId="4" borderId="19" xfId="0" applyFont="1" applyFill="1" applyBorder="1" applyAlignment="1" applyProtection="1">
      <alignment horizontal="center" vertical="center"/>
    </xf>
    <xf numFmtId="0" fontId="6" fillId="4" borderId="20" xfId="0" applyFont="1" applyFill="1" applyBorder="1" applyAlignment="1" applyProtection="1">
      <alignment horizontal="center" vertical="center"/>
    </xf>
    <xf numFmtId="0" fontId="9" fillId="4" borderId="21" xfId="0" applyFont="1" applyFill="1" applyBorder="1" applyAlignment="1" applyProtection="1">
      <alignment horizontal="center"/>
    </xf>
    <xf numFmtId="0" fontId="11" fillId="5" borderId="10" xfId="0" applyFont="1" applyFill="1" applyBorder="1" applyAlignment="1" applyProtection="1">
      <alignment horizontal="center" vertical="center" textRotation="255"/>
    </xf>
    <xf numFmtId="0" fontId="12" fillId="2" borderId="22" xfId="0" applyFont="1" applyFill="1" applyBorder="1" applyAlignment="1" applyProtection="1">
      <alignment vertical="center"/>
    </xf>
    <xf numFmtId="0" fontId="8" fillId="2" borderId="23" xfId="0" applyFont="1" applyFill="1" applyBorder="1" applyAlignment="1" applyProtection="1">
      <alignment vertical="center"/>
    </xf>
    <xf numFmtId="0" fontId="8" fillId="2" borderId="24" xfId="0" applyFont="1" applyFill="1" applyBorder="1" applyAlignment="1" applyProtection="1">
      <alignment vertical="center"/>
    </xf>
    <xf numFmtId="180" fontId="8" fillId="2" borderId="25" xfId="0" applyNumberFormat="1" applyFont="1" applyFill="1" applyBorder="1" applyAlignment="1" applyProtection="1">
      <alignment horizontal="center" vertical="center"/>
    </xf>
    <xf numFmtId="181" fontId="8" fillId="0" borderId="26" xfId="2" applyNumberFormat="1" applyFont="1" applyBorder="1" applyAlignment="1" applyProtection="1">
      <alignment horizontal="center" vertical="center"/>
    </xf>
    <xf numFmtId="182" fontId="0" fillId="0" borderId="25" xfId="0" applyNumberFormat="1" applyBorder="1" applyAlignment="1" applyProtection="1">
      <alignment horizontal="center"/>
    </xf>
    <xf numFmtId="0" fontId="8" fillId="2" borderId="13" xfId="0" applyFont="1" applyFill="1" applyBorder="1" applyAlignment="1" applyProtection="1">
      <alignment vertical="center"/>
    </xf>
    <xf numFmtId="0" fontId="8" fillId="2" borderId="0" xfId="0" applyFont="1" applyFill="1" applyBorder="1" applyAlignment="1" applyProtection="1">
      <alignment vertical="center"/>
    </xf>
    <xf numFmtId="0" fontId="8" fillId="2" borderId="27" xfId="0" applyFont="1" applyFill="1" applyBorder="1" applyAlignment="1" applyProtection="1">
      <alignment vertical="center"/>
    </xf>
    <xf numFmtId="0" fontId="0" fillId="2" borderId="0" xfId="0" applyFill="1" applyBorder="1" applyAlignment="1" applyProtection="1"/>
    <xf numFmtId="0" fontId="6" fillId="2" borderId="28" xfId="0" applyFont="1" applyFill="1" applyBorder="1" applyAlignment="1" applyProtection="1">
      <alignment horizontal="left" vertical="center"/>
    </xf>
    <xf numFmtId="0" fontId="6" fillId="2" borderId="29" xfId="0" applyFont="1" applyFill="1" applyBorder="1" applyAlignment="1" applyProtection="1">
      <alignment horizontal="left" vertical="center"/>
    </xf>
    <xf numFmtId="0" fontId="6" fillId="0" borderId="30" xfId="0" applyFont="1" applyBorder="1" applyAlignment="1" applyProtection="1">
      <alignment horizontal="left"/>
    </xf>
    <xf numFmtId="0" fontId="6" fillId="0" borderId="31" xfId="0" applyFont="1" applyBorder="1" applyAlignment="1" applyProtection="1">
      <alignment horizontal="left"/>
    </xf>
    <xf numFmtId="0" fontId="6" fillId="2" borderId="12" xfId="0" applyFont="1" applyFill="1" applyBorder="1" applyAlignment="1" applyProtection="1">
      <alignment horizontal="right" vertical="top" wrapText="1"/>
    </xf>
    <xf numFmtId="0" fontId="0" fillId="2" borderId="17" xfId="0" applyFill="1" applyBorder="1" applyAlignment="1" applyProtection="1"/>
    <xf numFmtId="182" fontId="6" fillId="3" borderId="32" xfId="0" applyNumberFormat="1" applyFont="1" applyFill="1" applyBorder="1" applyAlignment="1" applyProtection="1">
      <alignment horizontal="center" vertical="center"/>
    </xf>
    <xf numFmtId="182" fontId="6" fillId="3" borderId="33" xfId="0" applyNumberFormat="1" applyFont="1" applyFill="1" applyBorder="1" applyAlignment="1" applyProtection="1">
      <alignment horizontal="center" vertical="center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6" fillId="3" borderId="35" xfId="0" applyNumberFormat="1" applyFont="1" applyFill="1" applyBorder="1" applyAlignment="1" applyProtection="1">
      <alignment horizontal="center" vertical="center"/>
    </xf>
    <xf numFmtId="0" fontId="6" fillId="3" borderId="36" xfId="0" applyFont="1" applyFill="1" applyBorder="1" applyAlignment="1" applyProtection="1">
      <alignment horizontal="center" vertical="center"/>
    </xf>
    <xf numFmtId="0" fontId="6" fillId="3" borderId="37" xfId="0" applyFont="1" applyFill="1" applyBorder="1" applyAlignment="1" applyProtection="1">
      <alignment horizontal="center" vertical="center"/>
    </xf>
    <xf numFmtId="0" fontId="6" fillId="3" borderId="38" xfId="0" applyFont="1" applyFill="1" applyBorder="1" applyAlignment="1" applyProtection="1">
      <alignment horizontal="center" vertical="center"/>
    </xf>
    <xf numFmtId="183" fontId="6" fillId="0" borderId="39" xfId="0" applyNumberFormat="1" applyFont="1" applyBorder="1" applyAlignment="1" applyProtection="1">
      <alignment horizontal="center" vertical="center"/>
    </xf>
    <xf numFmtId="2" fontId="13" fillId="3" borderId="40" xfId="0" applyNumberFormat="1" applyFont="1" applyFill="1" applyBorder="1" applyAlignment="1" applyProtection="1">
      <alignment horizontal="center"/>
    </xf>
    <xf numFmtId="0" fontId="9" fillId="4" borderId="36" xfId="0" applyFont="1" applyFill="1" applyBorder="1" applyAlignment="1" applyProtection="1">
      <alignment horizontal="center" vertical="center"/>
    </xf>
    <xf numFmtId="0" fontId="14" fillId="0" borderId="38" xfId="0" applyFont="1" applyBorder="1" applyAlignment="1" applyProtection="1">
      <alignment horizontal="center" vertical="center"/>
    </xf>
    <xf numFmtId="0" fontId="0" fillId="6" borderId="0" xfId="0" applyFill="1" applyAlignment="1" applyProtection="1"/>
    <xf numFmtId="0" fontId="15" fillId="2" borderId="41" xfId="0" applyFont="1" applyFill="1" applyBorder="1" applyAlignment="1" applyProtection="1">
      <alignment horizontal="right"/>
    </xf>
    <xf numFmtId="0" fontId="16" fillId="7" borderId="0" xfId="0" applyFont="1" applyFill="1" applyAlignment="1" applyProtection="1"/>
    <xf numFmtId="0" fontId="16" fillId="8" borderId="0" xfId="0" applyFont="1" applyFill="1" applyAlignment="1" applyProtection="1">
      <alignment horizontal="center"/>
    </xf>
    <xf numFmtId="0" fontId="16" fillId="9" borderId="0" xfId="0" applyFont="1" applyFill="1" applyAlignment="1" applyProtection="1">
      <alignment horizontal="center"/>
    </xf>
    <xf numFmtId="0" fontId="2" fillId="0" borderId="0" xfId="0" applyFont="1" applyAlignment="1" applyProtection="1"/>
    <xf numFmtId="0" fontId="17" fillId="0" borderId="0" xfId="0" applyFont="1" applyAlignment="1" applyProtection="1"/>
    <xf numFmtId="180" fontId="18" fillId="8" borderId="42" xfId="0" applyNumberFormat="1" applyFont="1" applyFill="1" applyBorder="1" applyAlignment="1" applyProtection="1">
      <alignment horizontal="right"/>
    </xf>
    <xf numFmtId="180" fontId="18" fillId="10" borderId="42" xfId="0" applyNumberFormat="1" applyFont="1" applyFill="1" applyBorder="1" applyAlignment="1" applyProtection="1"/>
    <xf numFmtId="0" fontId="18" fillId="11" borderId="39" xfId="0" applyFont="1" applyFill="1" applyBorder="1" applyAlignment="1" applyProtection="1"/>
    <xf numFmtId="180" fontId="18" fillId="0" borderId="43" xfId="0" applyNumberFormat="1" applyFont="1" applyBorder="1" applyAlignment="1" applyProtection="1"/>
    <xf numFmtId="0" fontId="16" fillId="0" borderId="0" xfId="0" applyFont="1" applyAlignment="1" applyProtection="1"/>
    <xf numFmtId="180" fontId="18" fillId="12" borderId="42" xfId="0" applyNumberFormat="1" applyFont="1" applyFill="1" applyBorder="1" applyAlignment="1" applyProtection="1"/>
    <xf numFmtId="0" fontId="18" fillId="0" borderId="39" xfId="0" applyFont="1" applyBorder="1" applyAlignment="1" applyProtection="1"/>
    <xf numFmtId="2" fontId="18" fillId="0" borderId="39" xfId="0" applyNumberFormat="1" applyFont="1" applyBorder="1" applyAlignment="1" applyProtection="1"/>
    <xf numFmtId="2" fontId="18" fillId="10" borderId="44" xfId="0" applyNumberFormat="1" applyFont="1" applyFill="1" applyBorder="1" applyAlignment="1" applyProtection="1"/>
    <xf numFmtId="184" fontId="0" fillId="0" borderId="0" xfId="0" applyNumberFormat="1" applyAlignment="1" applyProtection="1"/>
    <xf numFmtId="185" fontId="0" fillId="0" borderId="0" xfId="0" applyNumberFormat="1" applyAlignment="1" applyProtection="1"/>
    <xf numFmtId="0" fontId="18" fillId="0" borderId="39" xfId="0" applyFont="1" applyBorder="1" applyAlignment="1" applyProtection="1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9C9C9"/>
      <rgbColor rgb="00808080"/>
      <rgbColor rgb="008FAADC"/>
      <rgbColor rgb="00993366"/>
      <rgbColor rgb="00F2F2F2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B0F0"/>
      <rgbColor rgb="00CCFFFF"/>
      <rgbColor rgb="00CCFFCC"/>
      <rgbColor rgb="00FFD966"/>
      <rgbColor rgb="009DC3E6"/>
      <rgbColor rgb="00F4B183"/>
      <rgbColor rgb="00AFABAB"/>
      <rgbColor rgb="00F8CBAD"/>
      <rgbColor rgb="002E75B6"/>
      <rgbColor rgb="0033CCCC"/>
      <rgbColor rgb="0092D050"/>
      <rgbColor rgb="00FFCC00"/>
      <rgbColor rgb="00FF9900"/>
      <rgbColor rgb="00FF6600"/>
      <rgbColor rgb="00666699"/>
      <rgbColor rgb="00A6A6A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G13"/>
  <sheetViews>
    <sheetView zoomScale="90" zoomScaleNormal="90" workbookViewId="0">
      <selection activeCell="C6" sqref="C6"/>
    </sheetView>
  </sheetViews>
  <sheetFormatPr defaultColWidth="8.55555555555556" defaultRowHeight="14.4" outlineLevelCol="6"/>
  <cols>
    <col min="1" max="1" width="11.3518518518519" style="1" customWidth="1"/>
    <col min="2" max="2" width="20" style="1" customWidth="1"/>
    <col min="3" max="3" width="19.5555555555556" style="1" customWidth="1"/>
    <col min="4" max="4" width="23" style="1" customWidth="1"/>
    <col min="5" max="5" width="22.4444444444444" style="1" customWidth="1"/>
    <col min="6" max="6" width="26.8888888888889" style="1" customWidth="1"/>
    <col min="7" max="7" width="5.44444444444444" style="1" customWidth="1"/>
  </cols>
  <sheetData>
    <row r="1" ht="30" customHeight="1"/>
    <row r="2" ht="23.4" spans="4:7">
      <c r="D2" s="64" t="s">
        <v>0</v>
      </c>
      <c r="E2" s="65" t="s">
        <v>1</v>
      </c>
      <c r="F2" s="66" t="s">
        <v>2</v>
      </c>
      <c r="G2" s="67"/>
    </row>
    <row r="3" ht="15.15"/>
    <row r="4" ht="37.35" spans="2:7">
      <c r="B4" s="68" t="s">
        <v>3</v>
      </c>
      <c r="C4" s="69">
        <v>36.17</v>
      </c>
      <c r="D4" s="70">
        <f>C4-C5</f>
        <v>24.5</v>
      </c>
      <c r="E4" s="71">
        <v>13024.72</v>
      </c>
      <c r="F4" s="72">
        <f>D4*E4</f>
        <v>319105.64</v>
      </c>
      <c r="G4" s="73"/>
    </row>
    <row r="5" ht="37.35" spans="2:7">
      <c r="B5" s="68" t="s">
        <v>4</v>
      </c>
      <c r="C5" s="74">
        <v>11.67</v>
      </c>
      <c r="E5" s="75" t="s">
        <v>5</v>
      </c>
      <c r="F5" s="76">
        <f>F4*5%</f>
        <v>15955.282</v>
      </c>
      <c r="G5" s="73"/>
    </row>
    <row r="6" ht="37.35" spans="5:7">
      <c r="E6" s="80" t="s">
        <v>6</v>
      </c>
      <c r="F6" s="77">
        <f>400*D4</f>
        <v>9800</v>
      </c>
      <c r="G6" s="73"/>
    </row>
    <row r="7" ht="37.35" spans="5:7">
      <c r="E7" s="75" t="s">
        <v>2</v>
      </c>
      <c r="F7" s="77">
        <f>F4+F5+F6</f>
        <v>344860.922</v>
      </c>
      <c r="G7" s="73"/>
    </row>
    <row r="8" ht="23.4" spans="5:7">
      <c r="E8" s="73"/>
      <c r="F8" s="73"/>
      <c r="G8" s="73"/>
    </row>
    <row r="9" ht="17.25" customHeight="1"/>
    <row r="11" spans="5:5">
      <c r="E11" s="78"/>
    </row>
    <row r="12" spans="5:5">
      <c r="E12" s="79"/>
    </row>
    <row r="13" spans="5:5">
      <c r="E13" s="78"/>
    </row>
  </sheetData>
  <pageMargins left="0.7" right="0.7" top="0.75" bottom="0.75" header="0.511811023622047" footer="0.511811023622047"/>
  <pageSetup paperSize="1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0"/>
  <sheetViews>
    <sheetView tabSelected="1" zoomScale="85" zoomScaleNormal="85" workbookViewId="0">
      <selection activeCell="G13" sqref="G13:G22"/>
    </sheetView>
  </sheetViews>
  <sheetFormatPr defaultColWidth="8.55555555555556" defaultRowHeight="14.4"/>
  <cols>
    <col min="3" max="3" width="21.8888888888889" style="1" customWidth="1"/>
    <col min="4" max="4" width="6.11111111111111" style="1" customWidth="1"/>
    <col min="5" max="5" width="14.6666666666667" style="1" customWidth="1"/>
    <col min="6" max="6" width="13.8888888888889" style="1" customWidth="1"/>
    <col min="7" max="7" width="17" style="1" customWidth="1"/>
    <col min="8" max="8" width="13.8888888888889" style="1" customWidth="1"/>
    <col min="9" max="9" width="13.3333333333333" style="1" customWidth="1"/>
    <col min="10" max="10" width="13" style="1" customWidth="1"/>
    <col min="13" max="13" width="11.3333333333333" style="1" customWidth="1"/>
    <col min="14" max="14" width="13.4444444444444" style="1" customWidth="1"/>
    <col min="16" max="16" width="14.6666666666667" customWidth="1"/>
    <col min="17" max="17" width="15.6666666666667" customWidth="1"/>
    <col min="18" max="18" width="21.6666666666667" customWidth="1"/>
    <col min="19" max="19" width="12.4444444444444" customWidth="1"/>
    <col min="21" max="21" width="13.4444444444444" customWidth="1"/>
  </cols>
  <sheetData>
    <row r="1" ht="24" customHeight="1" spans="1:14">
      <c r="A1" s="2" t="s">
        <v>7</v>
      </c>
      <c r="B1" s="3"/>
      <c r="C1" s="3"/>
      <c r="D1" s="3"/>
      <c r="E1" s="3"/>
      <c r="F1" s="4" t="s">
        <v>8</v>
      </c>
      <c r="G1" s="4"/>
      <c r="H1" s="4"/>
      <c r="I1" s="4"/>
      <c r="J1" s="4"/>
      <c r="M1"/>
      <c r="N1"/>
    </row>
    <row r="2" ht="36.15" spans="1:14">
      <c r="A2" s="5" t="s">
        <v>9</v>
      </c>
      <c r="B2" s="5"/>
      <c r="C2" s="5"/>
      <c r="D2" s="5"/>
      <c r="E2" s="5"/>
      <c r="F2" s="5"/>
      <c r="G2" s="5"/>
      <c r="H2" s="5"/>
      <c r="I2" s="5"/>
      <c r="J2" s="5"/>
      <c r="M2"/>
      <c r="N2"/>
    </row>
    <row r="3" ht="18" spans="1:10">
      <c r="A3" s="6" t="s">
        <v>10</v>
      </c>
      <c r="B3" s="6"/>
      <c r="C3" s="6"/>
      <c r="D3" s="6"/>
      <c r="E3" s="6"/>
      <c r="F3" s="6"/>
      <c r="G3" s="6"/>
      <c r="H3" s="7" t="s">
        <v>11</v>
      </c>
      <c r="I3" s="51">
        <f ca="1">TODAY()</f>
        <v>45403</v>
      </c>
      <c r="J3" s="52"/>
    </row>
    <row r="4" ht="18" spans="1:10">
      <c r="A4" s="6" t="s">
        <v>12</v>
      </c>
      <c r="B4" s="6"/>
      <c r="C4" s="6"/>
      <c r="D4" s="6"/>
      <c r="E4" s="6"/>
      <c r="F4" s="6"/>
      <c r="G4" s="6"/>
      <c r="H4" s="8" t="s">
        <v>13</v>
      </c>
      <c r="I4" s="53" t="s">
        <v>14</v>
      </c>
      <c r="J4" s="54"/>
    </row>
    <row r="5" ht="18" spans="1:10">
      <c r="A5" s="6" t="s">
        <v>15</v>
      </c>
      <c r="B5" s="6"/>
      <c r="C5" s="6"/>
      <c r="D5" s="6"/>
      <c r="E5" s="6"/>
      <c r="F5" s="6"/>
      <c r="G5" s="6"/>
      <c r="H5" s="9" t="s">
        <v>16</v>
      </c>
      <c r="I5" s="55" t="s">
        <v>17</v>
      </c>
      <c r="J5" s="56"/>
    </row>
    <row r="6" ht="18.75" spans="1:10">
      <c r="A6" s="10" t="s">
        <v>18</v>
      </c>
      <c r="B6" s="11"/>
      <c r="C6" s="11"/>
      <c r="D6" s="11"/>
      <c r="E6" s="11"/>
      <c r="F6" s="11"/>
      <c r="G6" s="11"/>
      <c r="H6" s="12" t="s">
        <v>19</v>
      </c>
      <c r="I6" s="57">
        <v>482000512</v>
      </c>
      <c r="J6" s="57"/>
    </row>
    <row r="7" ht="18.75" spans="1:10">
      <c r="A7" s="13" t="s">
        <v>20</v>
      </c>
      <c r="B7" s="14"/>
      <c r="C7" s="14"/>
      <c r="D7" s="15"/>
      <c r="E7" s="16" t="s">
        <v>21</v>
      </c>
      <c r="F7" s="17"/>
      <c r="G7" s="17"/>
      <c r="H7" s="18"/>
      <c r="I7" s="18"/>
      <c r="J7" s="18"/>
    </row>
    <row r="8" customHeight="1" spans="1:10">
      <c r="A8" s="19" t="s">
        <v>22</v>
      </c>
      <c r="B8" s="19"/>
      <c r="C8" s="19"/>
      <c r="D8" s="19"/>
      <c r="E8" s="20" t="s">
        <v>22</v>
      </c>
      <c r="F8" s="21"/>
      <c r="G8" s="22"/>
      <c r="H8" s="23" t="s">
        <v>23</v>
      </c>
      <c r="I8" s="58">
        <v>311754734317</v>
      </c>
      <c r="J8" s="58"/>
    </row>
    <row r="9" customHeight="1" spans="1:10">
      <c r="A9" s="19" t="s">
        <v>24</v>
      </c>
      <c r="B9" s="19"/>
      <c r="C9" s="19"/>
      <c r="D9" s="19"/>
      <c r="E9" s="20" t="s">
        <v>24</v>
      </c>
      <c r="F9" s="21"/>
      <c r="G9" s="21"/>
      <c r="H9" s="23"/>
      <c r="I9" s="58"/>
      <c r="J9" s="58"/>
    </row>
    <row r="10" ht="16.35" spans="1:10">
      <c r="A10" s="24"/>
      <c r="B10" s="24"/>
      <c r="C10" s="24"/>
      <c r="D10" s="24"/>
      <c r="E10" s="25" t="s">
        <v>25</v>
      </c>
      <c r="F10" s="26"/>
      <c r="G10" s="26"/>
      <c r="H10" s="27" t="s">
        <v>26</v>
      </c>
      <c r="I10" s="59">
        <f>Sheet2!F7</f>
        <v>344860.922</v>
      </c>
      <c r="J10" s="59"/>
    </row>
    <row r="11" ht="14.25" customHeight="1" spans="1:10">
      <c r="A11" s="28" t="s">
        <v>27</v>
      </c>
      <c r="B11" s="29" t="s">
        <v>28</v>
      </c>
      <c r="C11" s="29"/>
      <c r="D11" s="29"/>
      <c r="E11" s="30" t="s">
        <v>29</v>
      </c>
      <c r="F11" s="31" t="s">
        <v>30</v>
      </c>
      <c r="G11" s="31" t="s">
        <v>31</v>
      </c>
      <c r="H11" s="32" t="s">
        <v>32</v>
      </c>
      <c r="I11" s="60"/>
      <c r="J11" s="60"/>
    </row>
    <row r="12" customHeight="1" spans="1:10">
      <c r="A12" s="33" t="s">
        <v>33</v>
      </c>
      <c r="B12" s="29"/>
      <c r="C12" s="29"/>
      <c r="D12" s="29"/>
      <c r="E12" s="30"/>
      <c r="F12" s="31"/>
      <c r="G12" s="31"/>
      <c r="H12" s="32"/>
      <c r="I12" s="60"/>
      <c r="J12" s="60"/>
    </row>
    <row r="13" ht="18" customHeight="1" spans="1:10">
      <c r="A13" s="34" t="s">
        <v>34</v>
      </c>
      <c r="B13" s="35"/>
      <c r="C13" s="36"/>
      <c r="D13" s="37"/>
      <c r="E13" s="38">
        <v>24.5</v>
      </c>
      <c r="F13" s="39">
        <v>500</v>
      </c>
      <c r="G13" s="40"/>
      <c r="H13" s="39"/>
      <c r="I13" s="61" t="s">
        <v>35</v>
      </c>
      <c r="J13" s="61"/>
    </row>
    <row r="14" ht="14.25" customHeight="1" spans="1:10">
      <c r="A14" s="34"/>
      <c r="B14" s="41"/>
      <c r="C14" s="42"/>
      <c r="D14" s="43"/>
      <c r="E14" s="38"/>
      <c r="F14" s="39"/>
      <c r="G14" s="40"/>
      <c r="H14" s="39"/>
      <c r="I14" s="61"/>
      <c r="J14" s="61"/>
    </row>
    <row r="15" ht="14.25" customHeight="1" spans="1:14">
      <c r="A15" s="34"/>
      <c r="B15" s="41"/>
      <c r="C15" s="42"/>
      <c r="D15" s="43"/>
      <c r="E15" s="38"/>
      <c r="F15" s="39"/>
      <c r="G15" s="40"/>
      <c r="H15" s="39"/>
      <c r="I15" s="61"/>
      <c r="J15" s="61"/>
      <c r="N15" s="62"/>
    </row>
    <row r="16" ht="14.25" customHeight="1" spans="1:10">
      <c r="A16" s="34"/>
      <c r="B16" s="41"/>
      <c r="C16" s="42"/>
      <c r="D16" s="43"/>
      <c r="E16" s="38"/>
      <c r="F16" s="39"/>
      <c r="G16" s="40"/>
      <c r="H16" s="39"/>
      <c r="I16" s="61"/>
      <c r="J16" s="61"/>
    </row>
    <row r="17" ht="14.25" customHeight="1" spans="1:10">
      <c r="A17" s="34"/>
      <c r="B17" s="41"/>
      <c r="C17" s="44"/>
      <c r="D17" s="43"/>
      <c r="E17" s="38"/>
      <c r="F17" s="39"/>
      <c r="G17" s="40"/>
      <c r="H17" s="39"/>
      <c r="I17" s="61"/>
      <c r="J17" s="61"/>
    </row>
    <row r="18" ht="14.25" customHeight="1" spans="1:10">
      <c r="A18" s="34"/>
      <c r="B18" s="41"/>
      <c r="C18" s="42"/>
      <c r="D18" s="43"/>
      <c r="E18" s="38"/>
      <c r="F18" s="39"/>
      <c r="G18" s="40"/>
      <c r="H18" s="39"/>
      <c r="I18" s="61"/>
      <c r="J18" s="61"/>
    </row>
    <row r="19" ht="14.25" customHeight="1" spans="1:10">
      <c r="A19" s="34"/>
      <c r="B19" s="41"/>
      <c r="C19" s="42" t="s">
        <v>36</v>
      </c>
      <c r="D19" s="43"/>
      <c r="E19" s="38"/>
      <c r="F19" s="39"/>
      <c r="G19" s="40"/>
      <c r="H19" s="39"/>
      <c r="I19" s="61"/>
      <c r="J19" s="61"/>
    </row>
    <row r="20" ht="60.75" customHeight="1" spans="1:10">
      <c r="A20" s="34"/>
      <c r="B20" s="41"/>
      <c r="C20" s="44"/>
      <c r="D20" s="43"/>
      <c r="E20" s="38"/>
      <c r="F20" s="39"/>
      <c r="G20" s="40"/>
      <c r="H20" s="39"/>
      <c r="I20" s="61"/>
      <c r="J20" s="61"/>
    </row>
    <row r="21" ht="14.25" customHeight="1" spans="1:10">
      <c r="A21" s="34"/>
      <c r="B21" s="45" t="s">
        <v>37</v>
      </c>
      <c r="C21" s="45"/>
      <c r="D21" s="45"/>
      <c r="E21" s="38"/>
      <c r="F21" s="39"/>
      <c r="G21" s="40"/>
      <c r="H21" s="39"/>
      <c r="I21" s="61"/>
      <c r="J21" s="61"/>
    </row>
    <row r="22" ht="18" customHeight="1" spans="1:10">
      <c r="A22" s="34"/>
      <c r="B22" s="46" t="s">
        <v>38</v>
      </c>
      <c r="C22" s="46"/>
      <c r="D22" s="46"/>
      <c r="E22" s="38"/>
      <c r="F22" s="39"/>
      <c r="G22" s="40"/>
      <c r="H22" s="39"/>
      <c r="I22" s="61"/>
      <c r="J22" s="61"/>
    </row>
    <row r="23" ht="21" customHeight="1" spans="1:10">
      <c r="A23" s="47" t="s">
        <v>39</v>
      </c>
      <c r="B23" s="47"/>
      <c r="C23" s="47"/>
      <c r="D23" s="47"/>
      <c r="E23" s="48"/>
      <c r="F23" s="48"/>
      <c r="G23" s="48"/>
      <c r="H23" s="49" t="s">
        <v>40</v>
      </c>
      <c r="I23" s="49"/>
      <c r="J23" s="49"/>
    </row>
    <row r="24" ht="15.15" spans="1:10">
      <c r="A24" s="47"/>
      <c r="B24" s="47"/>
      <c r="C24" s="47"/>
      <c r="D24" s="47"/>
      <c r="E24" s="48"/>
      <c r="F24" s="48"/>
      <c r="G24" s="48"/>
      <c r="H24" s="50"/>
      <c r="I24" s="63" t="s">
        <v>41</v>
      </c>
      <c r="J24" s="63"/>
    </row>
    <row r="25" ht="16.2" customHeight="1"/>
    <row r="26" ht="16.2" customHeight="1" spans="5:14">
      <c r="E26"/>
      <c r="F26"/>
      <c r="G26"/>
      <c r="H26"/>
      <c r="I26"/>
      <c r="J26"/>
      <c r="M26"/>
      <c r="N26"/>
    </row>
    <row r="27" spans="5:14">
      <c r="E27"/>
      <c r="F27"/>
      <c r="G27"/>
      <c r="H27"/>
      <c r="I27"/>
      <c r="J27"/>
      <c r="M27"/>
      <c r="N27"/>
    </row>
    <row r="28" spans="5:14">
      <c r="E28"/>
      <c r="F28"/>
      <c r="G28"/>
      <c r="H28"/>
      <c r="I28"/>
      <c r="J28"/>
      <c r="M28"/>
      <c r="N28"/>
    </row>
    <row r="29" spans="5:14">
      <c r="E29"/>
      <c r="F29"/>
      <c r="G29"/>
      <c r="H29"/>
      <c r="I29"/>
      <c r="J29"/>
      <c r="M29"/>
      <c r="N29"/>
    </row>
    <row r="30" spans="5:14">
      <c r="E30"/>
      <c r="F30"/>
      <c r="G30"/>
      <c r="H30"/>
      <c r="I30"/>
      <c r="J30"/>
      <c r="M30"/>
      <c r="N30"/>
    </row>
    <row r="31" spans="5:14">
      <c r="E31"/>
      <c r="F31"/>
      <c r="G31"/>
      <c r="H31"/>
      <c r="I31"/>
      <c r="J31"/>
      <c r="M31"/>
      <c r="N31"/>
    </row>
    <row r="32" spans="5:14">
      <c r="E32"/>
      <c r="F32"/>
      <c r="G32"/>
      <c r="H32"/>
      <c r="I32"/>
      <c r="J32"/>
      <c r="M32"/>
      <c r="N32"/>
    </row>
    <row r="33" spans="5:14">
      <c r="E33"/>
      <c r="F33"/>
      <c r="G33"/>
      <c r="H33"/>
      <c r="I33"/>
      <c r="J33"/>
      <c r="M33"/>
      <c r="N33"/>
    </row>
    <row r="34" ht="15" customHeight="1" spans="5:14">
      <c r="E34"/>
      <c r="F34"/>
      <c r="G34"/>
      <c r="H34"/>
      <c r="I34"/>
      <c r="J34"/>
      <c r="M34"/>
      <c r="N34"/>
    </row>
    <row r="35" ht="15" customHeight="1" spans="5:14">
      <c r="E35"/>
      <c r="F35"/>
      <c r="G35"/>
      <c r="H35"/>
      <c r="I35"/>
      <c r="J35"/>
      <c r="M35"/>
      <c r="N35"/>
    </row>
    <row r="36" spans="5:14">
      <c r="E36"/>
      <c r="F36"/>
      <c r="G36"/>
      <c r="H36"/>
      <c r="I36"/>
      <c r="J36"/>
      <c r="M36"/>
      <c r="N36"/>
    </row>
    <row r="37" ht="15" customHeight="1" spans="5:14">
      <c r="E37"/>
      <c r="F37"/>
      <c r="G37"/>
      <c r="H37"/>
      <c r="I37"/>
      <c r="J37"/>
      <c r="M37"/>
      <c r="N37"/>
    </row>
    <row r="38" customHeight="1" spans="5:14">
      <c r="E38"/>
      <c r="F38"/>
      <c r="G38"/>
      <c r="H38"/>
      <c r="I38"/>
      <c r="J38"/>
      <c r="M38"/>
      <c r="N38"/>
    </row>
    <row r="39" ht="21.6" customHeight="1" spans="5:14">
      <c r="E39"/>
      <c r="F39"/>
      <c r="G39"/>
      <c r="H39"/>
      <c r="I39"/>
      <c r="J39"/>
      <c r="M39"/>
      <c r="N39"/>
    </row>
    <row r="40" spans="5:14">
      <c r="E40"/>
      <c r="F40"/>
      <c r="G40"/>
      <c r="H40"/>
      <c r="I40"/>
      <c r="J40"/>
      <c r="M40"/>
      <c r="N40"/>
    </row>
    <row r="41" spans="5:14">
      <c r="E41"/>
      <c r="F41"/>
      <c r="G41"/>
      <c r="H41"/>
      <c r="I41"/>
      <c r="J41"/>
      <c r="M41"/>
      <c r="N41"/>
    </row>
    <row r="42" spans="5:14">
      <c r="E42"/>
      <c r="F42"/>
      <c r="G42"/>
      <c r="H42"/>
      <c r="I42"/>
      <c r="J42"/>
      <c r="M42"/>
      <c r="N42"/>
    </row>
    <row r="43" spans="5:14">
      <c r="E43"/>
      <c r="F43"/>
      <c r="G43"/>
      <c r="H43"/>
      <c r="I43"/>
      <c r="J43"/>
      <c r="M43"/>
      <c r="N43"/>
    </row>
    <row r="44" spans="5:14">
      <c r="E44"/>
      <c r="F44"/>
      <c r="G44"/>
      <c r="H44"/>
      <c r="I44"/>
      <c r="J44"/>
      <c r="M44"/>
      <c r="N44"/>
    </row>
    <row r="45" spans="5:14">
      <c r="E45"/>
      <c r="F45"/>
      <c r="G45"/>
      <c r="H45"/>
      <c r="I45"/>
      <c r="J45"/>
      <c r="M45"/>
      <c r="N45"/>
    </row>
    <row r="46" spans="5:14">
      <c r="E46"/>
      <c r="F46"/>
      <c r="G46"/>
      <c r="H46"/>
      <c r="I46"/>
      <c r="J46"/>
      <c r="M46"/>
      <c r="N46"/>
    </row>
    <row r="47" ht="16.2" customHeight="1" spans="5:14">
      <c r="E47"/>
      <c r="F47"/>
      <c r="G47"/>
      <c r="H47"/>
      <c r="I47"/>
      <c r="J47"/>
      <c r="M47"/>
      <c r="N47"/>
    </row>
    <row r="48" ht="16.2" customHeight="1" spans="5:14">
      <c r="E48"/>
      <c r="F48"/>
      <c r="G48"/>
      <c r="H48"/>
      <c r="I48"/>
      <c r="J48"/>
      <c r="M48"/>
      <c r="N48"/>
    </row>
    <row r="49" ht="16.2" customHeight="1" spans="5:14">
      <c r="E49"/>
      <c r="F49"/>
      <c r="G49"/>
      <c r="H49"/>
      <c r="I49"/>
      <c r="J49"/>
      <c r="M49"/>
      <c r="N49"/>
    </row>
    <row r="50" ht="15" customHeight="1" spans="5:14">
      <c r="E50"/>
      <c r="F50"/>
      <c r="G50"/>
      <c r="H50"/>
      <c r="I50"/>
      <c r="J50"/>
      <c r="M50"/>
      <c r="N50"/>
    </row>
  </sheetData>
  <mergeCells count="35">
    <mergeCell ref="F1:J1"/>
    <mergeCell ref="A2:J2"/>
    <mergeCell ref="A3:G3"/>
    <mergeCell ref="I3:J3"/>
    <mergeCell ref="A4:G4"/>
    <mergeCell ref="I4:J4"/>
    <mergeCell ref="A5:G5"/>
    <mergeCell ref="I5:J5"/>
    <mergeCell ref="A6:G6"/>
    <mergeCell ref="I6:J6"/>
    <mergeCell ref="H7:J7"/>
    <mergeCell ref="A8:D8"/>
    <mergeCell ref="A9:D9"/>
    <mergeCell ref="A10:D10"/>
    <mergeCell ref="I10:J10"/>
    <mergeCell ref="B21:D21"/>
    <mergeCell ref="B22:D22"/>
    <mergeCell ref="H23:J23"/>
    <mergeCell ref="I24:J24"/>
    <mergeCell ref="A13:A22"/>
    <mergeCell ref="E11:E12"/>
    <mergeCell ref="E13:E22"/>
    <mergeCell ref="F11:F12"/>
    <mergeCell ref="F13:F22"/>
    <mergeCell ref="G11:G12"/>
    <mergeCell ref="G13:G22"/>
    <mergeCell ref="H8:H9"/>
    <mergeCell ref="H11:H12"/>
    <mergeCell ref="H13:H22"/>
    <mergeCell ref="I13:J22"/>
    <mergeCell ref="A23:D24"/>
    <mergeCell ref="E23:G24"/>
    <mergeCell ref="I8:J9"/>
    <mergeCell ref="B11:D12"/>
    <mergeCell ref="I11:J12"/>
  </mergeCells>
  <pageMargins left="0.7" right="0.7" top="0.75" bottom="0.75" header="0.511811023622047" footer="0.511811023622047"/>
  <pageSetup paperSize="9" orientation="landscape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BUILTY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hardev singh</dc:creator>
  <cp:lastModifiedBy>SIMAR</cp:lastModifiedBy>
  <cp:revision>73</cp:revision>
  <dcterms:created xsi:type="dcterms:W3CDTF">2015-06-05T18:17:00Z</dcterms:created>
  <cp:lastPrinted>2023-12-10T12:44:00Z</cp:lastPrinted>
  <dcterms:modified xsi:type="dcterms:W3CDTF">2024-04-21T13:49:46Z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D8998412AC71403887F8176A9BD6539A</vt:lpwstr>
  </property>
  <property fmtid="{D5CDD505-2E9C-101B-9397-08002B2CF9AE}" pid="3" name="KSOProductBuildVer">
    <vt:lpwstr>1033-12.2.0.16731</vt:lpwstr>
  </property>
</Properties>
</file>