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dev singh\OneDrive\Desktop\BLANK BUILTIES AND BILLS\"/>
    </mc:Choice>
  </mc:AlternateContent>
  <xr:revisionPtr revIDLastSave="0" documentId="13_ncr:1_{89A718E0-708E-4203-8E14-4A99D6CE22DB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Sheet2" sheetId="2" r:id="rId1"/>
    <sheet name="BUILTY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7" i="2" l="1"/>
  <c r="E5" i="2"/>
  <c r="G5" i="2" l="1"/>
  <c r="G6" i="2" s="1"/>
  <c r="G7" i="2" s="1"/>
  <c r="L6" i="2"/>
  <c r="E14" i="2" l="1"/>
  <c r="J8" i="2" l="1"/>
  <c r="G14" i="2" l="1"/>
  <c r="I21" i="2" l="1"/>
  <c r="J9" i="2" l="1"/>
  <c r="K9" i="2" s="1"/>
  <c r="L7" i="2"/>
</calcChain>
</file>

<file path=xl/sharedStrings.xml><?xml version="1.0" encoding="utf-8"?>
<sst xmlns="http://schemas.openxmlformats.org/spreadsheetml/2006/main" count="56" uniqueCount="49">
  <si>
    <t>ARC</t>
  </si>
  <si>
    <t>GOODS AS SOLD TO BE CONTAINED</t>
  </si>
  <si>
    <t>LOOSE</t>
  </si>
  <si>
    <t>RATE</t>
  </si>
  <si>
    <t>TOTAL FREIGHT</t>
  </si>
  <si>
    <t xml:space="preserve">ADVANCE </t>
  </si>
  <si>
    <t>REMARKS</t>
  </si>
  <si>
    <t>SIGNATURE OF CONSIGNEE</t>
  </si>
  <si>
    <t>SIGNATURE OF DRIVER</t>
  </si>
  <si>
    <t>FOR ARC</t>
  </si>
  <si>
    <t>EWAY:</t>
  </si>
  <si>
    <t>PET COKE</t>
  </si>
  <si>
    <t>VALUE:</t>
  </si>
  <si>
    <t>TRUCK WEIGHT</t>
  </si>
  <si>
    <t>COKE RATE</t>
  </si>
  <si>
    <t>TOTAL</t>
  </si>
  <si>
    <t>Double bill</t>
  </si>
  <si>
    <t>Single bill</t>
  </si>
  <si>
    <t>IGST 18%</t>
  </si>
  <si>
    <t>M</t>
  </si>
  <si>
    <t>A</t>
  </si>
  <si>
    <t>A    2ND BIIL OUT</t>
  </si>
  <si>
    <t>BALANCE</t>
  </si>
  <si>
    <t>Associated  Road  Carriers</t>
  </si>
  <si>
    <t>DATE</t>
  </si>
  <si>
    <t>B.O. CEAT HUB MOTOR MARKET BERI, DISTT. BILASPUR(H.P)</t>
  </si>
  <si>
    <t>G.R. NO.</t>
  </si>
  <si>
    <t>SCO 131, REAILWAY ROAD, DARUA, CHANDIGARH</t>
  </si>
  <si>
    <t>CHALLAN NO.</t>
  </si>
  <si>
    <r>
      <rPr>
        <b/>
        <sz val="14"/>
        <color theme="1"/>
        <rFont val="Calibri"/>
        <family val="2"/>
        <scheme val="minor"/>
      </rPr>
      <t xml:space="preserve">FROM </t>
    </r>
    <r>
      <rPr>
        <b/>
        <i/>
        <u/>
        <sz val="14"/>
        <color theme="1"/>
        <rFont val="Calibri"/>
        <family val="2"/>
        <scheme val="minor"/>
      </rPr>
      <t>GHANOLI</t>
    </r>
    <r>
      <rPr>
        <b/>
        <i/>
        <sz val="14"/>
        <color theme="1"/>
        <rFont val="Calibri"/>
        <family val="2"/>
        <scheme val="minor"/>
      </rPr>
      <t xml:space="preserve"> </t>
    </r>
    <r>
      <rPr>
        <b/>
        <sz val="14"/>
        <color theme="1"/>
        <rFont val="Calibri"/>
        <family val="2"/>
        <scheme val="minor"/>
      </rPr>
      <t xml:space="preserve"> TO  </t>
    </r>
    <r>
      <rPr>
        <b/>
        <i/>
        <u/>
        <sz val="14"/>
        <color theme="1"/>
        <rFont val="Calibri"/>
        <family val="2"/>
        <scheme val="minor"/>
      </rPr>
      <t>BAGGA  (H.P)</t>
    </r>
  </si>
  <si>
    <t>TRUCK NO.</t>
  </si>
  <si>
    <t>CONSIGNOR</t>
  </si>
  <si>
    <t>CONSIGNEE</t>
  </si>
  <si>
    <t>ADDRESS : M/S ULTRATECH CEMENT LTD.</t>
  </si>
  <si>
    <t>BAGGA CEMENT WORKS, BAGGA, DIST.SOLAN (H.P.)</t>
  </si>
  <si>
    <t>GSTIN NO. 02AAACL6442L2ZL</t>
  </si>
  <si>
    <t>NO. OF</t>
  </si>
  <si>
    <t>ACTUAL WT.</t>
  </si>
  <si>
    <t xml:space="preserve">SIMRAN </t>
  </si>
  <si>
    <t>INDIAN OIL CORP. LTD.</t>
  </si>
  <si>
    <t>PANIPAT (HR)</t>
  </si>
  <si>
    <t>GSTIN NO. 06AAACl1681G1ZT</t>
  </si>
  <si>
    <t>NO INSURED OWNER'S RISK</t>
  </si>
  <si>
    <t>ARTICLE</t>
  </si>
  <si>
    <t>REACH TIME:  16.00HRS</t>
  </si>
  <si>
    <t xml:space="preserve">DISP. TIME   : </t>
  </si>
  <si>
    <t>PH 98160-29027, DUMP: 9463651769,6284543114,7589005270</t>
  </si>
  <si>
    <t>H.O. : SCO-9/20 COM.  COMPLEX  CUSUMPATI SHIMLA</t>
  </si>
  <si>
    <t>₹  525/-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</si>
</sst>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&quot;₹&quot;\ #,##0.00"/>
    <numFmt numFmtId="166" formatCode="0.0"/>
    <numFmt numFmtId="167" formatCode="_ [$₹-4009]\ * #,##0.00_ ;_ [$₹-4009]\ * \-#,##0.00_ ;_ [$₹-4009]\ * &quot;-&quot;??_ ;_ @_ "/>
  </numFmts>
  <fonts count="22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8"/>
      <color theme="1"/>
      <name val="Bookman Old Style"/>
      <family val="1"/>
    </font>
    <font>
      <b/>
      <sz val="18"/>
      <color theme="1"/>
      <name val="Bookman Old Style"/>
      <family val="1"/>
    </font>
    <font>
      <b/>
      <sz val="16"/>
      <color theme="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u/>
      <sz val="11"/>
      <color theme="1"/>
      <name val="Bahnschrift SemiBold Condensed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4">
    <xf numFmtId="0" fontId="0" fillId="0" borderId="0" xfId="0"/>
    <xf numFmtId="0" fontId="6" fillId="0" borderId="0" xfId="0" applyFont="1" applyBorder="1" applyAlignment="1">
      <alignment vertical="center"/>
    </xf>
    <xf numFmtId="0" fontId="8" fillId="0" borderId="0" xfId="0" applyFont="1" applyBorder="1" applyAlignment="1"/>
    <xf numFmtId="0" fontId="8" fillId="0" borderId="8" xfId="0" applyFont="1" applyBorder="1" applyAlignment="1"/>
    <xf numFmtId="0" fontId="5" fillId="0" borderId="0" xfId="0" applyFont="1" applyBorder="1" applyAlignment="1">
      <alignment vertical="center"/>
    </xf>
    <xf numFmtId="0" fontId="6" fillId="0" borderId="8" xfId="0" applyFont="1" applyBorder="1" applyAlignment="1">
      <alignment vertical="center"/>
    </xf>
    <xf numFmtId="0" fontId="7" fillId="0" borderId="0" xfId="0" applyFont="1"/>
    <xf numFmtId="164" fontId="13" fillId="3" borderId="16" xfId="0" applyNumberFormat="1" applyFont="1" applyFill="1" applyBorder="1"/>
    <xf numFmtId="0" fontId="13" fillId="9" borderId="16" xfId="0" applyFont="1" applyFill="1" applyBorder="1"/>
    <xf numFmtId="0" fontId="13" fillId="0" borderId="20" xfId="0" applyFont="1" applyBorder="1"/>
    <xf numFmtId="0" fontId="14" fillId="0" borderId="0" xfId="0" applyFont="1"/>
    <xf numFmtId="0" fontId="13" fillId="0" borderId="0" xfId="0" applyFont="1"/>
    <xf numFmtId="0" fontId="13" fillId="0" borderId="16" xfId="0" applyFont="1" applyBorder="1"/>
    <xf numFmtId="2" fontId="13" fillId="0" borderId="16" xfId="0" applyNumberFormat="1" applyFont="1" applyBorder="1"/>
    <xf numFmtId="2" fontId="13" fillId="3" borderId="29" xfId="0" applyNumberFormat="1" applyFont="1" applyFill="1" applyBorder="1"/>
    <xf numFmtId="0" fontId="2" fillId="0" borderId="0" xfId="0" applyFont="1"/>
    <xf numFmtId="0" fontId="7" fillId="4" borderId="0" xfId="0" applyFont="1" applyFill="1"/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0" borderId="0" xfId="0" applyFont="1"/>
    <xf numFmtId="0" fontId="7" fillId="6" borderId="0" xfId="0" applyFont="1" applyFill="1"/>
    <xf numFmtId="0" fontId="7" fillId="7" borderId="0" xfId="0" applyFont="1" applyFill="1"/>
    <xf numFmtId="0" fontId="12" fillId="6" borderId="16" xfId="0" applyFont="1" applyFill="1" applyBorder="1" applyAlignment="1">
      <alignment horizontal="center"/>
    </xf>
    <xf numFmtId="0" fontId="12" fillId="13" borderId="16" xfId="0" applyFont="1" applyFill="1" applyBorder="1" applyAlignment="1">
      <alignment horizontal="center"/>
    </xf>
    <xf numFmtId="0" fontId="12" fillId="5" borderId="16" xfId="0" applyFont="1" applyFill="1" applyBorder="1" applyAlignment="1">
      <alignment horizontal="center"/>
    </xf>
    <xf numFmtId="2" fontId="13" fillId="10" borderId="16" xfId="0" applyNumberFormat="1" applyFont="1" applyFill="1" applyBorder="1"/>
    <xf numFmtId="2" fontId="13" fillId="3" borderId="19" xfId="0" applyNumberFormat="1" applyFont="1" applyFill="1" applyBorder="1"/>
    <xf numFmtId="2" fontId="13" fillId="0" borderId="20" xfId="0" applyNumberFormat="1" applyFont="1" applyBorder="1"/>
    <xf numFmtId="2" fontId="13" fillId="3" borderId="16" xfId="0" applyNumberFormat="1" applyFont="1" applyFill="1" applyBorder="1"/>
    <xf numFmtId="0" fontId="7" fillId="0" borderId="0" xfId="0" applyFont="1" applyBorder="1"/>
    <xf numFmtId="2" fontId="13" fillId="8" borderId="18" xfId="0" applyNumberFormat="1" applyFont="1" applyFill="1" applyBorder="1"/>
    <xf numFmtId="2" fontId="13" fillId="0" borderId="19" xfId="0" applyNumberFormat="1" applyFont="1" applyBorder="1"/>
    <xf numFmtId="2" fontId="13" fillId="11" borderId="31" xfId="0" applyNumberFormat="1" applyFont="1" applyFill="1" applyBorder="1"/>
    <xf numFmtId="2" fontId="13" fillId="8" borderId="29" xfId="0" applyNumberFormat="1" applyFont="1" applyFill="1" applyBorder="1"/>
    <xf numFmtId="2" fontId="13" fillId="10" borderId="19" xfId="0" applyNumberFormat="1" applyFont="1" applyFill="1" applyBorder="1"/>
    <xf numFmtId="165" fontId="0" fillId="0" borderId="0" xfId="0" applyNumberFormat="1"/>
    <xf numFmtId="166" fontId="0" fillId="0" borderId="0" xfId="0" applyNumberFormat="1"/>
    <xf numFmtId="0" fontId="7" fillId="0" borderId="0" xfId="0" applyFont="1" applyFill="1" applyBorder="1"/>
    <xf numFmtId="0" fontId="0" fillId="0" borderId="0" xfId="0" applyFont="1"/>
    <xf numFmtId="0" fontId="0" fillId="0" borderId="0" xfId="0" applyBorder="1"/>
    <xf numFmtId="0" fontId="17" fillId="0" borderId="5" xfId="0" applyFont="1" applyBorder="1"/>
    <xf numFmtId="0" fontId="1" fillId="0" borderId="6" xfId="0" applyFont="1" applyBorder="1"/>
    <xf numFmtId="0" fontId="6" fillId="0" borderId="30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3" fillId="12" borderId="44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6" fillId="0" borderId="26" xfId="0" applyFont="1" applyBorder="1" applyAlignment="1">
      <alignment horizontal="left"/>
    </xf>
    <xf numFmtId="0" fontId="6" fillId="0" borderId="43" xfId="0" applyFont="1" applyBorder="1" applyAlignment="1">
      <alignment vertical="center"/>
    </xf>
    <xf numFmtId="0" fontId="6" fillId="0" borderId="23" xfId="0" applyFont="1" applyBorder="1" applyAlignment="1">
      <alignment vertical="center"/>
    </xf>
    <xf numFmtId="0" fontId="6" fillId="0" borderId="22" xfId="0" applyFont="1" applyBorder="1" applyAlignment="1"/>
    <xf numFmtId="0" fontId="6" fillId="0" borderId="23" xfId="0" applyFont="1" applyBorder="1" applyAlignment="1"/>
    <xf numFmtId="0" fontId="6" fillId="0" borderId="41" xfId="0" applyFont="1" applyBorder="1" applyAlignment="1"/>
    <xf numFmtId="0" fontId="8" fillId="0" borderId="41" xfId="0" applyFont="1" applyBorder="1" applyAlignment="1"/>
    <xf numFmtId="0" fontId="5" fillId="0" borderId="0" xfId="0" applyFont="1" applyBorder="1" applyAlignment="1"/>
    <xf numFmtId="0" fontId="6" fillId="0" borderId="53" xfId="0" applyFont="1" applyBorder="1" applyAlignment="1">
      <alignment horizontal="left" vertical="center"/>
    </xf>
    <xf numFmtId="0" fontId="0" fillId="0" borderId="23" xfId="0" applyBorder="1"/>
    <xf numFmtId="0" fontId="6" fillId="0" borderId="0" xfId="0" applyFont="1" applyBorder="1" applyAlignment="1"/>
    <xf numFmtId="0" fontId="18" fillId="0" borderId="47" xfId="0" applyFont="1" applyBorder="1" applyAlignment="1">
      <alignment vertical="center"/>
    </xf>
    <xf numFmtId="0" fontId="5" fillId="0" borderId="4" xfId="0" applyFont="1" applyBorder="1" applyAlignment="1">
      <alignment vertical="center"/>
    </xf>
    <xf numFmtId="0" fontId="5" fillId="0" borderId="48" xfId="0" applyFont="1" applyBorder="1" applyAlignment="1">
      <alignment vertical="center"/>
    </xf>
    <xf numFmtId="0" fontId="5" fillId="0" borderId="41" xfId="0" applyFont="1" applyBorder="1" applyAlignment="1">
      <alignment vertical="center"/>
    </xf>
    <xf numFmtId="0" fontId="5" fillId="0" borderId="40" xfId="0" applyFont="1" applyBorder="1" applyAlignment="1">
      <alignment vertical="center"/>
    </xf>
    <xf numFmtId="0" fontId="0" fillId="0" borderId="0" xfId="0" applyFill="1" applyBorder="1"/>
    <xf numFmtId="0" fontId="6" fillId="0" borderId="0" xfId="0" applyFont="1" applyFill="1" applyBorder="1" applyAlignment="1">
      <alignment horizontal="center"/>
    </xf>
    <xf numFmtId="167" fontId="5" fillId="0" borderId="0" xfId="0" applyNumberFormat="1" applyFont="1" applyFill="1" applyBorder="1" applyAlignment="1">
      <alignment horizontal="center"/>
    </xf>
    <xf numFmtId="164" fontId="5" fillId="0" borderId="0" xfId="0" applyNumberFormat="1" applyFont="1" applyFill="1" applyBorder="1" applyAlignment="1">
      <alignment horizontal="center"/>
    </xf>
    <xf numFmtId="0" fontId="6" fillId="14" borderId="53" xfId="0" applyFont="1" applyFill="1" applyBorder="1"/>
    <xf numFmtId="164" fontId="13" fillId="5" borderId="17" xfId="0" applyNumberFormat="1" applyFont="1" applyFill="1" applyBorder="1"/>
    <xf numFmtId="164" fontId="13" fillId="16" borderId="16" xfId="0" applyNumberFormat="1" applyFont="1" applyFill="1" applyBorder="1"/>
    <xf numFmtId="0" fontId="15" fillId="0" borderId="0" xfId="0" applyFont="1"/>
    <xf numFmtId="0" fontId="3" fillId="12" borderId="2" xfId="0" applyFont="1" applyFill="1" applyBorder="1" applyAlignment="1">
      <alignment horizontal="center" vertical="center"/>
    </xf>
    <xf numFmtId="0" fontId="3" fillId="12" borderId="13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3" fillId="12" borderId="9" xfId="0" applyFont="1" applyFill="1" applyBorder="1" applyAlignment="1">
      <alignment horizontal="center" vertical="center"/>
    </xf>
    <xf numFmtId="0" fontId="8" fillId="0" borderId="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51" xfId="0" applyFont="1" applyBorder="1" applyAlignment="1">
      <alignment horizontal="center" vertical="center"/>
    </xf>
    <xf numFmtId="0" fontId="8" fillId="0" borderId="52" xfId="0" applyFont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center" vertical="center"/>
    </xf>
    <xf numFmtId="0" fontId="6" fillId="14" borderId="32" xfId="0" applyFont="1" applyFill="1" applyBorder="1" applyAlignment="1">
      <alignment horizontal="center" vertical="center"/>
    </xf>
    <xf numFmtId="0" fontId="6" fillId="14" borderId="33" xfId="0" applyFont="1" applyFill="1" applyBorder="1" applyAlignment="1">
      <alignment horizontal="center" vertical="center"/>
    </xf>
    <xf numFmtId="14" fontId="6" fillId="14" borderId="56" xfId="0" applyNumberFormat="1" applyFont="1" applyFill="1" applyBorder="1" applyAlignment="1">
      <alignment horizontal="center" vertical="center"/>
    </xf>
    <xf numFmtId="14" fontId="6" fillId="14" borderId="7" xfId="0" applyNumberFormat="1" applyFont="1" applyFill="1" applyBorder="1" applyAlignment="1">
      <alignment horizontal="center" vertical="center"/>
    </xf>
    <xf numFmtId="0" fontId="10" fillId="12" borderId="39" xfId="0" applyFont="1" applyFill="1" applyBorder="1" applyAlignment="1">
      <alignment horizontal="center" vertical="center"/>
    </xf>
    <xf numFmtId="0" fontId="10" fillId="12" borderId="21" xfId="0" applyFont="1" applyFill="1" applyBorder="1" applyAlignment="1">
      <alignment horizontal="center" vertical="center"/>
    </xf>
    <xf numFmtId="0" fontId="10" fillId="12" borderId="38" xfId="0" applyFont="1" applyFill="1" applyBorder="1" applyAlignment="1">
      <alignment horizontal="center" vertical="center"/>
    </xf>
    <xf numFmtId="0" fontId="10" fillId="12" borderId="45" xfId="0" applyFont="1" applyFill="1" applyBorder="1" applyAlignment="1">
      <alignment horizontal="center" vertical="center"/>
    </xf>
    <xf numFmtId="0" fontId="10" fillId="12" borderId="3" xfId="0" applyFont="1" applyFill="1" applyBorder="1" applyAlignment="1">
      <alignment horizontal="center" vertical="center"/>
    </xf>
    <xf numFmtId="0" fontId="10" fillId="12" borderId="46" xfId="0" applyFont="1" applyFill="1" applyBorder="1" applyAlignment="1">
      <alignment horizontal="center" vertical="center"/>
    </xf>
    <xf numFmtId="0" fontId="3" fillId="12" borderId="35" xfId="0" applyFont="1" applyFill="1" applyBorder="1" applyAlignment="1">
      <alignment horizontal="center" vertical="center"/>
    </xf>
    <xf numFmtId="0" fontId="6" fillId="12" borderId="2" xfId="0" applyFont="1" applyFill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/>
    </xf>
    <xf numFmtId="1" fontId="6" fillId="0" borderId="32" xfId="0" applyNumberFormat="1" applyFont="1" applyFill="1" applyBorder="1" applyAlignment="1">
      <alignment horizontal="center"/>
    </xf>
    <xf numFmtId="1" fontId="6" fillId="0" borderId="33" xfId="0" applyNumberFormat="1" applyFont="1" applyFill="1" applyBorder="1" applyAlignment="1">
      <alignment horizontal="center"/>
    </xf>
    <xf numFmtId="0" fontId="21" fillId="0" borderId="47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6" fillId="0" borderId="17" xfId="0" applyFont="1" applyBorder="1" applyAlignment="1">
      <alignment horizontal="left"/>
    </xf>
    <xf numFmtId="0" fontId="6" fillId="0" borderId="27" xfId="0" applyFont="1" applyBorder="1" applyAlignment="1">
      <alignment horizontal="left"/>
    </xf>
    <xf numFmtId="0" fontId="6" fillId="0" borderId="25" xfId="0" applyFont="1" applyBorder="1" applyAlignment="1">
      <alignment horizontal="left"/>
    </xf>
    <xf numFmtId="0" fontId="6" fillId="0" borderId="26" xfId="0" applyFont="1" applyBorder="1" applyAlignment="1">
      <alignment horizontal="left"/>
    </xf>
    <xf numFmtId="0" fontId="6" fillId="0" borderId="27" xfId="0" applyFont="1" applyBorder="1" applyAlignment="1">
      <alignment horizontal="right"/>
    </xf>
    <xf numFmtId="0" fontId="15" fillId="0" borderId="28" xfId="0" applyFont="1" applyBorder="1" applyAlignment="1">
      <alignment horizontal="right"/>
    </xf>
    <xf numFmtId="0" fontId="12" fillId="15" borderId="15" xfId="0" applyFont="1" applyFill="1" applyBorder="1" applyAlignment="1">
      <alignment vertical="center" textRotation="255"/>
    </xf>
    <xf numFmtId="0" fontId="12" fillId="15" borderId="49" xfId="0" applyFont="1" applyFill="1" applyBorder="1" applyAlignment="1">
      <alignment vertical="center" textRotation="255"/>
    </xf>
    <xf numFmtId="0" fontId="12" fillId="15" borderId="54" xfId="0" applyFont="1" applyFill="1" applyBorder="1" applyAlignment="1">
      <alignment vertical="center" textRotation="255"/>
    </xf>
    <xf numFmtId="164" fontId="5" fillId="2" borderId="47" xfId="0" applyNumberFormat="1" applyFont="1" applyFill="1" applyBorder="1" applyAlignment="1">
      <alignment horizontal="center" vertical="center"/>
    </xf>
    <xf numFmtId="164" fontId="5" fillId="2" borderId="48" xfId="0" applyNumberFormat="1" applyFont="1" applyFill="1" applyBorder="1" applyAlignment="1">
      <alignment horizontal="center" vertical="center"/>
    </xf>
    <xf numFmtId="164" fontId="5" fillId="2" borderId="41" xfId="0" applyNumberFormat="1" applyFont="1" applyFill="1" applyBorder="1" applyAlignment="1">
      <alignment horizontal="center" vertical="center"/>
    </xf>
    <xf numFmtId="164" fontId="5" fillId="2" borderId="40" xfId="0" applyNumberFormat="1" applyFont="1" applyFill="1" applyBorder="1" applyAlignment="1">
      <alignment horizontal="center" vertical="center"/>
    </xf>
    <xf numFmtId="164" fontId="5" fillId="2" borderId="43" xfId="0" applyNumberFormat="1" applyFont="1" applyFill="1" applyBorder="1" applyAlignment="1">
      <alignment horizontal="center" vertical="center"/>
    </xf>
    <xf numFmtId="164" fontId="5" fillId="2" borderId="42" xfId="0" applyNumberFormat="1" applyFont="1" applyFill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50" xfId="0" applyFont="1" applyBorder="1" applyAlignment="1">
      <alignment horizontal="center" vertical="center"/>
    </xf>
    <xf numFmtId="0" fontId="5" fillId="0" borderId="57" xfId="0" applyFont="1" applyBorder="1" applyAlignment="1">
      <alignment horizontal="center" vertic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2" xfId="0" applyBorder="1" applyAlignment="1">
      <alignment horizontal="center"/>
    </xf>
    <xf numFmtId="167" fontId="5" fillId="0" borderId="1" xfId="0" applyNumberFormat="1" applyFont="1" applyBorder="1" applyAlignment="1">
      <alignment horizontal="center" vertical="center"/>
    </xf>
    <xf numFmtId="167" fontId="5" fillId="0" borderId="55" xfId="0" applyNumberFormat="1" applyFont="1" applyBorder="1" applyAlignment="1">
      <alignment horizontal="center" vertical="center"/>
    </xf>
    <xf numFmtId="0" fontId="6" fillId="0" borderId="43" xfId="0" applyFont="1" applyBorder="1" applyAlignment="1">
      <alignment horizontal="left" vertical="center"/>
    </xf>
    <xf numFmtId="0" fontId="6" fillId="0" borderId="23" xfId="0" applyFont="1" applyBorder="1" applyAlignment="1">
      <alignment horizontal="left" vertical="center"/>
    </xf>
    <xf numFmtId="0" fontId="6" fillId="0" borderId="42" xfId="0" applyFont="1" applyBorder="1" applyAlignment="1">
      <alignment horizontal="left" vertical="center"/>
    </xf>
    <xf numFmtId="0" fontId="6" fillId="0" borderId="41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6" fillId="0" borderId="40" xfId="0" applyFont="1" applyBorder="1" applyAlignment="1">
      <alignment horizontal="left" vertical="center"/>
    </xf>
    <xf numFmtId="0" fontId="11" fillId="0" borderId="6" xfId="0" applyFont="1" applyBorder="1" applyAlignment="1">
      <alignment horizontal="right"/>
    </xf>
    <xf numFmtId="0" fontId="11" fillId="0" borderId="7" xfId="0" applyFont="1" applyBorder="1" applyAlignment="1">
      <alignment horizontal="right"/>
    </xf>
    <xf numFmtId="2" fontId="4" fillId="14" borderId="36" xfId="0" applyNumberFormat="1" applyFont="1" applyFill="1" applyBorder="1" applyAlignment="1">
      <alignment horizontal="center"/>
    </xf>
    <xf numFmtId="0" fontId="4" fillId="14" borderId="37" xfId="0" applyFont="1" applyFill="1" applyBorder="1" applyAlignment="1">
      <alignment horizontal="center"/>
    </xf>
    <xf numFmtId="0" fontId="5" fillId="0" borderId="44" xfId="0" applyFont="1" applyFill="1" applyBorder="1" applyAlignment="1">
      <alignment horizontal="left" vertical="center"/>
    </xf>
    <xf numFmtId="0" fontId="5" fillId="0" borderId="12" xfId="0" applyFont="1" applyFill="1" applyBorder="1" applyAlignment="1">
      <alignment horizontal="left" vertical="center"/>
    </xf>
    <xf numFmtId="0" fontId="6" fillId="14" borderId="36" xfId="0" applyFont="1" applyFill="1" applyBorder="1" applyAlignment="1">
      <alignment horizontal="center" vertical="center"/>
    </xf>
    <xf numFmtId="0" fontId="6" fillId="14" borderId="3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EB2D5-BE8E-484F-BCEB-D34DAFDBFE3A}">
  <sheetPr codeName="Sheet2"/>
  <dimension ref="B1:M21"/>
  <sheetViews>
    <sheetView zoomScale="90" zoomScaleNormal="90" workbookViewId="0">
      <selection activeCell="J7" sqref="J7"/>
    </sheetView>
  </sheetViews>
  <sheetFormatPr defaultRowHeight="14.4" x14ac:dyDescent="0.3"/>
  <cols>
    <col min="1" max="1" width="3.109375" customWidth="1"/>
    <col min="2" max="2" width="4.33203125" hidden="1" customWidth="1"/>
    <col min="3" max="3" width="20" customWidth="1"/>
    <col min="4" max="4" width="19.5546875" customWidth="1"/>
    <col min="5" max="5" width="23" customWidth="1"/>
    <col min="6" max="6" width="22.44140625" customWidth="1"/>
    <col min="7" max="7" width="26.88671875" customWidth="1"/>
    <col min="8" max="8" width="5.44140625" customWidth="1"/>
    <col min="9" max="9" width="16.5546875" bestFit="1" customWidth="1"/>
    <col min="10" max="10" width="20.21875" customWidth="1"/>
    <col min="11" max="11" width="18.6640625" customWidth="1"/>
    <col min="12" max="12" width="21" customWidth="1"/>
  </cols>
  <sheetData>
    <row r="1" spans="3:13" ht="6" customHeight="1" x14ac:dyDescent="0.3"/>
    <row r="2" spans="3:13" hidden="1" x14ac:dyDescent="0.3"/>
    <row r="3" spans="3:13" ht="23.4" x14ac:dyDescent="0.45">
      <c r="E3" s="16" t="s">
        <v>13</v>
      </c>
      <c r="F3" s="17" t="s">
        <v>14</v>
      </c>
      <c r="G3" s="18" t="s">
        <v>15</v>
      </c>
      <c r="H3" s="19"/>
      <c r="I3" s="19"/>
      <c r="J3" s="20" t="s">
        <v>16</v>
      </c>
      <c r="K3" s="19"/>
      <c r="L3" s="21" t="s">
        <v>17</v>
      </c>
    </row>
    <row r="4" spans="3:13" ht="15" thickBot="1" x14ac:dyDescent="0.35"/>
    <row r="5" spans="3:13" ht="37.200000000000003" thickBot="1" x14ac:dyDescent="0.75">
      <c r="C5" s="67">
        <v>39.5</v>
      </c>
      <c r="D5" s="68">
        <v>11.9</v>
      </c>
      <c r="E5" s="7">
        <f>C5-D5</f>
        <v>27.6</v>
      </c>
      <c r="F5" s="8">
        <v>13985</v>
      </c>
      <c r="G5" s="9">
        <f>E5*F5</f>
        <v>385986</v>
      </c>
      <c r="H5" s="6"/>
      <c r="I5" s="11"/>
      <c r="J5" s="30">
        <v>3.05</v>
      </c>
      <c r="K5" s="15" t="s">
        <v>19</v>
      </c>
      <c r="L5" s="27">
        <v>23.52</v>
      </c>
      <c r="M5" t="s">
        <v>19</v>
      </c>
    </row>
    <row r="6" spans="3:13" ht="37.200000000000003" thickBot="1" x14ac:dyDescent="0.75">
      <c r="C6" s="69"/>
      <c r="D6" s="69"/>
      <c r="E6" s="15" t="s">
        <v>20</v>
      </c>
      <c r="F6" s="12" t="s">
        <v>18</v>
      </c>
      <c r="G6" s="13">
        <f>G5*18%</f>
        <v>69477.48</v>
      </c>
      <c r="H6" s="6"/>
      <c r="I6" s="11"/>
      <c r="J6" s="34">
        <v>39.32</v>
      </c>
      <c r="K6" s="15" t="s">
        <v>19</v>
      </c>
      <c r="L6" s="28">
        <f>E5</f>
        <v>27.6</v>
      </c>
      <c r="M6" t="s">
        <v>20</v>
      </c>
    </row>
    <row r="7" spans="3:13" ht="37.200000000000003" thickBot="1" x14ac:dyDescent="0.75">
      <c r="C7" s="10"/>
      <c r="D7" s="10"/>
      <c r="E7" s="11"/>
      <c r="F7" s="12" t="s">
        <v>15</v>
      </c>
      <c r="G7" s="14">
        <f>G5+G6</f>
        <v>455463.48</v>
      </c>
      <c r="H7" s="6"/>
      <c r="I7" s="11"/>
      <c r="J7" s="31">
        <f>J5+J6</f>
        <v>42.37</v>
      </c>
      <c r="K7" s="15" t="s">
        <v>20</v>
      </c>
      <c r="L7" s="33">
        <f>L5-L6</f>
        <v>-4.0800000000000018</v>
      </c>
      <c r="M7" t="s">
        <v>20</v>
      </c>
    </row>
    <row r="8" spans="3:13" ht="37.200000000000003" thickBot="1" x14ac:dyDescent="0.75">
      <c r="E8" s="6"/>
      <c r="F8" s="6"/>
      <c r="G8" s="6"/>
      <c r="H8" s="6"/>
      <c r="I8" s="11"/>
      <c r="J8" s="26">
        <f>E5</f>
        <v>27.6</v>
      </c>
      <c r="K8" s="15" t="s">
        <v>21</v>
      </c>
      <c r="L8" s="15" t="s">
        <v>20</v>
      </c>
    </row>
    <row r="9" spans="3:13" ht="37.200000000000003" thickBot="1" x14ac:dyDescent="0.75">
      <c r="E9" s="6"/>
      <c r="F9" s="6"/>
      <c r="G9" s="6"/>
      <c r="H9" s="6"/>
      <c r="I9" s="11"/>
      <c r="J9" s="32">
        <f>J7-J8</f>
        <v>14.769999999999996</v>
      </c>
      <c r="K9" s="25">
        <f>J6-J9</f>
        <v>24.550000000000004</v>
      </c>
      <c r="L9" s="15"/>
    </row>
    <row r="10" spans="3:13" ht="17.399999999999999" customHeight="1" x14ac:dyDescent="0.45">
      <c r="J10" s="6"/>
    </row>
    <row r="11" spans="3:13" ht="15" thickBot="1" x14ac:dyDescent="0.35">
      <c r="J11" t="s">
        <v>22</v>
      </c>
    </row>
    <row r="12" spans="3:13" ht="34.200000000000003" thickBot="1" x14ac:dyDescent="0.7">
      <c r="E12" s="22">
        <v>43440</v>
      </c>
      <c r="F12" s="35"/>
      <c r="G12">
        <v>42070</v>
      </c>
      <c r="I12" s="38"/>
      <c r="J12" s="29"/>
    </row>
    <row r="13" spans="3:13" ht="34.200000000000003" thickBot="1" x14ac:dyDescent="0.7">
      <c r="E13" s="23">
        <v>11960</v>
      </c>
      <c r="F13" s="36"/>
      <c r="G13">
        <v>42220</v>
      </c>
      <c r="I13">
        <v>7430</v>
      </c>
      <c r="J13" s="29">
        <v>834</v>
      </c>
    </row>
    <row r="14" spans="3:13" ht="34.200000000000003" thickBot="1" x14ac:dyDescent="0.7">
      <c r="E14" s="24">
        <f>E12-E13</f>
        <v>31480</v>
      </c>
      <c r="F14" s="35"/>
      <c r="G14">
        <f>G12-G13</f>
        <v>-150</v>
      </c>
      <c r="I14">
        <v>5610</v>
      </c>
      <c r="J14" s="29"/>
    </row>
    <row r="15" spans="3:13" x14ac:dyDescent="0.3">
      <c r="I15">
        <v>0</v>
      </c>
      <c r="J15">
        <v>9557</v>
      </c>
    </row>
    <row r="16" spans="3:13" x14ac:dyDescent="0.3">
      <c r="I16">
        <v>0</v>
      </c>
      <c r="J16">
        <v>1754</v>
      </c>
    </row>
    <row r="17" spans="9:10" ht="23.4" x14ac:dyDescent="0.45">
      <c r="I17">
        <v>0</v>
      </c>
      <c r="J17" s="37">
        <v>9327</v>
      </c>
    </row>
    <row r="18" spans="9:10" x14ac:dyDescent="0.3">
      <c r="I18">
        <v>0</v>
      </c>
    </row>
    <row r="21" spans="9:10" x14ac:dyDescent="0.3">
      <c r="I21">
        <f>SUM(I13:I20)</f>
        <v>13040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B6949-ECE8-4301-A4A2-BD6D88267E71}">
  <dimension ref="A1:R24"/>
  <sheetViews>
    <sheetView tabSelected="1" zoomScale="90" zoomScaleNormal="90" workbookViewId="0">
      <selection activeCell="H14" sqref="H14:I23"/>
    </sheetView>
  </sheetViews>
  <sheetFormatPr defaultRowHeight="14.4" x14ac:dyDescent="0.3"/>
  <cols>
    <col min="3" max="3" width="12.88671875" customWidth="1"/>
    <col min="4" max="4" width="9.21875" customWidth="1"/>
    <col min="6" max="6" width="5.77734375" customWidth="1"/>
    <col min="7" max="7" width="10.88671875" customWidth="1"/>
    <col min="9" max="9" width="5.77734375" customWidth="1"/>
    <col min="10" max="10" width="13.88671875" bestFit="1" customWidth="1"/>
    <col min="12" max="12" width="15" customWidth="1"/>
    <col min="15" max="15" width="11.33203125" bestFit="1" customWidth="1"/>
    <col min="16" max="16" width="13.44140625" customWidth="1"/>
  </cols>
  <sheetData>
    <row r="1" spans="1:18" ht="15" thickBot="1" x14ac:dyDescent="0.35"/>
    <row r="2" spans="1:18" ht="23.4" x14ac:dyDescent="0.45">
      <c r="A2" s="40" t="s">
        <v>0</v>
      </c>
      <c r="B2" s="41"/>
      <c r="C2" s="41"/>
      <c r="D2" s="41"/>
      <c r="E2" s="41"/>
      <c r="F2" s="41"/>
      <c r="G2" s="134" t="s">
        <v>46</v>
      </c>
      <c r="H2" s="134"/>
      <c r="I2" s="134"/>
      <c r="J2" s="134"/>
      <c r="K2" s="134"/>
      <c r="L2" s="135"/>
    </row>
    <row r="3" spans="1:18" ht="46.8" thickBot="1" x14ac:dyDescent="0.35">
      <c r="A3" s="78" t="s">
        <v>23</v>
      </c>
      <c r="B3" s="79"/>
      <c r="C3" s="79"/>
      <c r="D3" s="79"/>
      <c r="E3" s="79"/>
      <c r="F3" s="79"/>
      <c r="G3" s="79"/>
      <c r="H3" s="79"/>
      <c r="I3" s="79"/>
      <c r="J3" s="79"/>
      <c r="K3" s="79"/>
      <c r="L3" s="80"/>
    </row>
    <row r="4" spans="1:18" ht="18" x14ac:dyDescent="0.35">
      <c r="A4" s="74" t="s">
        <v>47</v>
      </c>
      <c r="B4" s="75"/>
      <c r="C4" s="75"/>
      <c r="D4" s="75"/>
      <c r="E4" s="75"/>
      <c r="F4" s="75"/>
      <c r="G4" s="75"/>
      <c r="H4" s="75"/>
      <c r="I4" s="75"/>
      <c r="J4" s="42" t="s">
        <v>24</v>
      </c>
      <c r="K4" s="83">
        <v>44607</v>
      </c>
      <c r="L4" s="84"/>
    </row>
    <row r="5" spans="1:18" ht="18" x14ac:dyDescent="0.35">
      <c r="A5" s="74" t="s">
        <v>25</v>
      </c>
      <c r="B5" s="75"/>
      <c r="C5" s="75"/>
      <c r="D5" s="75"/>
      <c r="E5" s="75"/>
      <c r="F5" s="75"/>
      <c r="G5" s="75"/>
      <c r="H5" s="75"/>
      <c r="I5" s="75"/>
      <c r="J5" s="43" t="s">
        <v>26</v>
      </c>
      <c r="K5" s="81"/>
      <c r="L5" s="82"/>
    </row>
    <row r="6" spans="1:18" ht="18" x14ac:dyDescent="0.35">
      <c r="A6" s="74" t="s">
        <v>27</v>
      </c>
      <c r="B6" s="75"/>
      <c r="C6" s="75"/>
      <c r="D6" s="75"/>
      <c r="E6" s="75"/>
      <c r="F6" s="75"/>
      <c r="G6" s="75"/>
      <c r="H6" s="75"/>
      <c r="I6" s="75"/>
      <c r="J6" s="43" t="s">
        <v>30</v>
      </c>
      <c r="K6" s="81"/>
      <c r="L6" s="82"/>
    </row>
    <row r="7" spans="1:18" ht="18.600000000000001" thickBot="1" x14ac:dyDescent="0.35">
      <c r="A7" s="76" t="s">
        <v>29</v>
      </c>
      <c r="B7" s="77"/>
      <c r="C7" s="77"/>
      <c r="D7" s="77"/>
      <c r="E7" s="77"/>
      <c r="F7" s="77"/>
      <c r="G7" s="77"/>
      <c r="H7" s="77"/>
      <c r="I7" s="77"/>
      <c r="J7" s="54" t="s">
        <v>28</v>
      </c>
      <c r="K7" s="140"/>
      <c r="L7" s="141"/>
      <c r="N7" s="62"/>
      <c r="O7" s="62"/>
      <c r="P7" s="62"/>
      <c r="Q7" s="62"/>
      <c r="R7" s="62"/>
    </row>
    <row r="8" spans="1:18" ht="18.600000000000001" thickBot="1" x14ac:dyDescent="0.4">
      <c r="A8" s="3" t="s">
        <v>31</v>
      </c>
      <c r="B8" s="2"/>
      <c r="C8" s="2"/>
      <c r="D8" s="52" t="s">
        <v>32</v>
      </c>
      <c r="E8" s="53"/>
      <c r="F8" s="53"/>
      <c r="G8" s="53"/>
      <c r="H8" s="53"/>
      <c r="I8" s="39"/>
      <c r="J8" s="39"/>
      <c r="K8" s="142"/>
      <c r="L8" s="143"/>
      <c r="N8" s="62"/>
      <c r="O8" s="62"/>
      <c r="P8" s="63"/>
      <c r="Q8" s="62"/>
      <c r="R8" s="62"/>
    </row>
    <row r="9" spans="1:18" ht="15.6" x14ac:dyDescent="0.3">
      <c r="A9" s="5" t="s">
        <v>39</v>
      </c>
      <c r="B9" s="1"/>
      <c r="C9" s="1"/>
      <c r="D9" s="51" t="s">
        <v>33</v>
      </c>
      <c r="E9" s="56"/>
      <c r="F9" s="56"/>
      <c r="G9" s="56"/>
      <c r="H9" s="56"/>
      <c r="I9" s="39"/>
      <c r="J9" s="138" t="s">
        <v>10</v>
      </c>
      <c r="K9" s="94"/>
      <c r="L9" s="95"/>
      <c r="N9" s="62"/>
      <c r="O9" s="62"/>
      <c r="P9" s="63"/>
      <c r="Q9" s="62"/>
      <c r="R9" s="62"/>
    </row>
    <row r="10" spans="1:18" ht="15.6" x14ac:dyDescent="0.3">
      <c r="A10" s="5" t="s">
        <v>40</v>
      </c>
      <c r="B10" s="1"/>
      <c r="C10" s="1"/>
      <c r="D10" s="51" t="s">
        <v>34</v>
      </c>
      <c r="E10" s="56"/>
      <c r="F10" s="56"/>
      <c r="G10" s="56"/>
      <c r="H10" s="56"/>
      <c r="I10" s="39"/>
      <c r="J10" s="139"/>
      <c r="K10" s="94"/>
      <c r="L10" s="95"/>
      <c r="N10" s="62"/>
      <c r="O10" s="62"/>
      <c r="P10" s="62"/>
      <c r="Q10" s="62"/>
      <c r="R10" s="62"/>
    </row>
    <row r="11" spans="1:18" ht="16.2" thickBot="1" x14ac:dyDescent="0.35">
      <c r="A11" s="49" t="s">
        <v>41</v>
      </c>
      <c r="B11" s="50"/>
      <c r="C11" s="50"/>
      <c r="D11" s="47" t="s">
        <v>35</v>
      </c>
      <c r="E11" s="48"/>
      <c r="F11" s="48"/>
      <c r="G11" s="48"/>
      <c r="H11" s="48"/>
      <c r="I11" s="55"/>
      <c r="J11" s="66" t="s">
        <v>12</v>
      </c>
      <c r="K11" s="136"/>
      <c r="L11" s="137"/>
      <c r="N11" s="62"/>
      <c r="O11" s="62"/>
      <c r="P11" s="62"/>
      <c r="Q11" s="62"/>
      <c r="R11" s="62"/>
    </row>
    <row r="12" spans="1:18" ht="15.6" x14ac:dyDescent="0.3">
      <c r="A12" s="44" t="s">
        <v>36</v>
      </c>
      <c r="B12" s="85" t="s">
        <v>1</v>
      </c>
      <c r="C12" s="86"/>
      <c r="D12" s="87"/>
      <c r="E12" s="91" t="s">
        <v>37</v>
      </c>
      <c r="F12" s="91"/>
      <c r="G12" s="91" t="s">
        <v>3</v>
      </c>
      <c r="H12" s="91" t="s">
        <v>4</v>
      </c>
      <c r="I12" s="91"/>
      <c r="J12" s="92" t="s">
        <v>5</v>
      </c>
      <c r="K12" s="70" t="s">
        <v>6</v>
      </c>
      <c r="L12" s="71"/>
      <c r="N12" s="62"/>
      <c r="O12" s="62"/>
      <c r="P12" s="63"/>
      <c r="Q12" s="62"/>
      <c r="R12" s="62"/>
    </row>
    <row r="13" spans="1:18" ht="18" x14ac:dyDescent="0.35">
      <c r="A13" s="45" t="s">
        <v>43</v>
      </c>
      <c r="B13" s="88"/>
      <c r="C13" s="89"/>
      <c r="D13" s="90"/>
      <c r="E13" s="72"/>
      <c r="F13" s="72"/>
      <c r="G13" s="72"/>
      <c r="H13" s="72"/>
      <c r="I13" s="72"/>
      <c r="J13" s="93"/>
      <c r="K13" s="72"/>
      <c r="L13" s="73"/>
      <c r="N13" s="62"/>
      <c r="O13" s="62"/>
      <c r="P13" s="64"/>
      <c r="Q13" s="62"/>
      <c r="R13" s="62"/>
    </row>
    <row r="14" spans="1:18" ht="18" customHeight="1" x14ac:dyDescent="0.35">
      <c r="A14" s="108" t="s">
        <v>2</v>
      </c>
      <c r="B14" s="57"/>
      <c r="C14" s="58"/>
      <c r="D14" s="59"/>
      <c r="E14" s="111"/>
      <c r="F14" s="112"/>
      <c r="G14" s="117" t="s">
        <v>48</v>
      </c>
      <c r="H14" s="120"/>
      <c r="I14" s="121"/>
      <c r="J14" s="126"/>
      <c r="K14" s="96" t="s">
        <v>42</v>
      </c>
      <c r="L14" s="97"/>
      <c r="N14" s="62"/>
      <c r="O14" s="62"/>
      <c r="P14" s="65"/>
      <c r="Q14" s="62"/>
      <c r="R14" s="62"/>
    </row>
    <row r="15" spans="1:18" ht="14.4" customHeight="1" x14ac:dyDescent="0.3">
      <c r="A15" s="109"/>
      <c r="B15" s="60"/>
      <c r="C15" s="4"/>
      <c r="D15" s="61"/>
      <c r="E15" s="113"/>
      <c r="F15" s="114"/>
      <c r="G15" s="118"/>
      <c r="H15" s="122"/>
      <c r="I15" s="123"/>
      <c r="J15" s="126"/>
      <c r="K15" s="98"/>
      <c r="L15" s="99"/>
      <c r="N15" s="62"/>
      <c r="O15" s="62"/>
      <c r="P15" s="62"/>
      <c r="Q15" s="62"/>
      <c r="R15" s="62"/>
    </row>
    <row r="16" spans="1:18" ht="14.4" customHeight="1" x14ac:dyDescent="0.3">
      <c r="A16" s="109"/>
      <c r="B16" s="60"/>
      <c r="C16" s="4"/>
      <c r="D16" s="61"/>
      <c r="E16" s="113"/>
      <c r="F16" s="114"/>
      <c r="G16" s="118"/>
      <c r="H16" s="122"/>
      <c r="I16" s="123"/>
      <c r="J16" s="126"/>
      <c r="K16" s="98"/>
      <c r="L16" s="99"/>
      <c r="N16" s="62"/>
      <c r="O16" s="62"/>
      <c r="P16" s="62"/>
      <c r="Q16" s="62"/>
      <c r="R16" s="62"/>
    </row>
    <row r="17" spans="1:18" ht="14.4" customHeight="1" x14ac:dyDescent="0.3">
      <c r="A17" s="109"/>
      <c r="B17" s="60"/>
      <c r="C17" s="4"/>
      <c r="D17" s="61"/>
      <c r="E17" s="113"/>
      <c r="F17" s="114"/>
      <c r="G17" s="118"/>
      <c r="H17" s="122"/>
      <c r="I17" s="123"/>
      <c r="J17" s="126"/>
      <c r="K17" s="98"/>
      <c r="L17" s="99"/>
      <c r="N17" s="62"/>
      <c r="O17" s="62"/>
      <c r="P17" s="62"/>
      <c r="Q17" s="62"/>
      <c r="R17" s="62"/>
    </row>
    <row r="18" spans="1:18" ht="14.4" customHeight="1" x14ac:dyDescent="0.3">
      <c r="A18" s="109"/>
      <c r="B18" s="60"/>
      <c r="C18" s="39"/>
      <c r="D18" s="61"/>
      <c r="E18" s="113"/>
      <c r="F18" s="114"/>
      <c r="G18" s="118"/>
      <c r="H18" s="122"/>
      <c r="I18" s="123"/>
      <c r="J18" s="126"/>
      <c r="K18" s="98"/>
      <c r="L18" s="99"/>
    </row>
    <row r="19" spans="1:18" ht="14.4" customHeight="1" x14ac:dyDescent="0.3">
      <c r="A19" s="109"/>
      <c r="B19" s="60"/>
      <c r="C19" s="4"/>
      <c r="D19" s="61"/>
      <c r="E19" s="113"/>
      <c r="F19" s="114"/>
      <c r="G19" s="118"/>
      <c r="H19" s="122"/>
      <c r="I19" s="123"/>
      <c r="J19" s="126"/>
      <c r="K19" s="98"/>
      <c r="L19" s="99"/>
    </row>
    <row r="20" spans="1:18" ht="14.4" customHeight="1" x14ac:dyDescent="0.3">
      <c r="A20" s="109"/>
      <c r="B20" s="60"/>
      <c r="C20" s="4" t="s">
        <v>11</v>
      </c>
      <c r="D20" s="61"/>
      <c r="E20" s="113"/>
      <c r="F20" s="114"/>
      <c r="G20" s="118"/>
      <c r="H20" s="122"/>
      <c r="I20" s="123"/>
      <c r="J20" s="126"/>
      <c r="K20" s="98"/>
      <c r="L20" s="99"/>
    </row>
    <row r="21" spans="1:18" ht="61.2" customHeight="1" x14ac:dyDescent="0.3">
      <c r="A21" s="109"/>
      <c r="B21" s="60"/>
      <c r="C21" s="39"/>
      <c r="D21" s="61"/>
      <c r="E21" s="113"/>
      <c r="F21" s="114"/>
      <c r="G21" s="118"/>
      <c r="H21" s="122"/>
      <c r="I21" s="123"/>
      <c r="J21" s="126"/>
      <c r="K21" s="98"/>
      <c r="L21" s="99"/>
    </row>
    <row r="22" spans="1:18" ht="14.4" customHeight="1" x14ac:dyDescent="0.3">
      <c r="A22" s="109"/>
      <c r="B22" s="131" t="s">
        <v>45</v>
      </c>
      <c r="C22" s="132"/>
      <c r="D22" s="133"/>
      <c r="E22" s="113"/>
      <c r="F22" s="114"/>
      <c r="G22" s="118"/>
      <c r="H22" s="122"/>
      <c r="I22" s="123"/>
      <c r="J22" s="126"/>
      <c r="K22" s="98"/>
      <c r="L22" s="99"/>
    </row>
    <row r="23" spans="1:18" ht="18" customHeight="1" thickBot="1" x14ac:dyDescent="0.35">
      <c r="A23" s="110"/>
      <c r="B23" s="128" t="s">
        <v>44</v>
      </c>
      <c r="C23" s="129"/>
      <c r="D23" s="130"/>
      <c r="E23" s="115"/>
      <c r="F23" s="116"/>
      <c r="G23" s="119"/>
      <c r="H23" s="124"/>
      <c r="I23" s="125"/>
      <c r="J23" s="127"/>
      <c r="K23" s="100"/>
      <c r="L23" s="101"/>
    </row>
    <row r="24" spans="1:18" ht="16.2" thickBot="1" x14ac:dyDescent="0.35">
      <c r="A24" s="102" t="s">
        <v>7</v>
      </c>
      <c r="B24" s="103"/>
      <c r="C24" s="103"/>
      <c r="D24" s="104"/>
      <c r="E24" s="105" t="s">
        <v>8</v>
      </c>
      <c r="F24" s="103"/>
      <c r="G24" s="103"/>
      <c r="H24" s="103"/>
      <c r="I24" s="103"/>
      <c r="J24" s="46" t="s">
        <v>9</v>
      </c>
      <c r="K24" s="106" t="s">
        <v>38</v>
      </c>
      <c r="L24" s="107"/>
    </row>
  </sheetData>
  <mergeCells count="32">
    <mergeCell ref="G2:L2"/>
    <mergeCell ref="K10:L10"/>
    <mergeCell ref="K11:L11"/>
    <mergeCell ref="J9:J10"/>
    <mergeCell ref="K7:L7"/>
    <mergeCell ref="K8:L8"/>
    <mergeCell ref="K14:L23"/>
    <mergeCell ref="A24:D24"/>
    <mergeCell ref="E24:I24"/>
    <mergeCell ref="K24:L24"/>
    <mergeCell ref="A14:A23"/>
    <mergeCell ref="E14:F23"/>
    <mergeCell ref="G14:G23"/>
    <mergeCell ref="H14:I23"/>
    <mergeCell ref="J14:J23"/>
    <mergeCell ref="B23:D23"/>
    <mergeCell ref="B22:D22"/>
    <mergeCell ref="K12:L13"/>
    <mergeCell ref="A6:I6"/>
    <mergeCell ref="A7:I7"/>
    <mergeCell ref="A3:L3"/>
    <mergeCell ref="A4:I4"/>
    <mergeCell ref="K5:L5"/>
    <mergeCell ref="A5:I5"/>
    <mergeCell ref="K4:L4"/>
    <mergeCell ref="B12:D13"/>
    <mergeCell ref="E12:F13"/>
    <mergeCell ref="G12:G13"/>
    <mergeCell ref="H12:I13"/>
    <mergeCell ref="J12:J13"/>
    <mergeCell ref="K6:L6"/>
    <mergeCell ref="K9:L9"/>
  </mergeCells>
  <pageMargins left="0.7" right="0.7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BUILTY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hardev singh</dc:creator>
  <cp:lastModifiedBy>hardev singh</cp:lastModifiedBy>
  <cp:lastPrinted>2022-02-11T07:54:54Z</cp:lastPrinted>
  <dcterms:created xsi:type="dcterms:W3CDTF">2015-06-05T18:17:20Z</dcterms:created>
  <dcterms:modified xsi:type="dcterms:W3CDTF">2022-02-15T11:01:26Z</dcterms:modified>
</cp:coreProperties>
</file>