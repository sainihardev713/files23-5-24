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workbookProtection/>
  <bookViews>
    <workbookView windowWidth="28125" windowHeight="12045" tabRatio="500"/>
  </bookViews>
  <sheets>
    <sheet name="BUILTY" sheetId="1" r:id="rId1"/>
    <sheet name="BILL" sheetId="2" r:id="rId2"/>
    <sheet name="Sheet1" sheetId="3" r:id="rId3"/>
    <sheet name="Sheet2" sheetId="4" r:id="rId4"/>
  </sheets>
  <calcPr calcId="144525"/>
</workbook>
</file>

<file path=xl/sharedStrings.xml><?xml version="1.0" encoding="utf-8"?>
<sst xmlns="http://schemas.openxmlformats.org/spreadsheetml/2006/main" count="97" uniqueCount="85">
  <si>
    <t>ARC</t>
  </si>
  <si>
    <t>PH 98160-29027, DUMP:    9463651769,   6284543114,  7589005270</t>
  </si>
  <si>
    <t>Associated  Road  Carriers</t>
  </si>
  <si>
    <t>H.O. SCO 9-/20 COM  COMPLEX  KUSUMPTI SHIMLA</t>
  </si>
  <si>
    <t>DATE</t>
  </si>
  <si>
    <t>B.O. CEAT HUB MOTOR MARKET BERI, DISTT. BILASPUR(H.P)</t>
  </si>
  <si>
    <t>RR. NO.</t>
  </si>
  <si>
    <t>SCO 131, RAILWAY ROAD, DARUA, CHANDIGARH</t>
  </si>
  <si>
    <t>G.R. NO.</t>
  </si>
  <si>
    <t>RO00</t>
  </si>
  <si>
    <r>
      <rPr>
        <i/>
        <sz val="14"/>
        <color rgb="FF000000"/>
        <rFont val="Calibri"/>
        <charset val="1"/>
      </rPr>
      <t xml:space="preserve">FROM </t>
    </r>
    <r>
      <rPr>
        <i/>
        <u/>
        <sz val="14"/>
        <color rgb="FF000000"/>
        <rFont val="Calibri"/>
        <charset val="1"/>
      </rPr>
      <t>GHANAULI</t>
    </r>
    <r>
      <rPr>
        <i/>
        <sz val="14"/>
        <color rgb="FF000000"/>
        <rFont val="Calibri"/>
        <charset val="1"/>
      </rPr>
      <t xml:space="preserve">  TO  </t>
    </r>
    <r>
      <rPr>
        <i/>
        <u/>
        <sz val="14"/>
        <color rgb="FF000000"/>
        <rFont val="Calibri"/>
        <charset val="1"/>
      </rPr>
      <t>BAGA (H.P)</t>
    </r>
  </si>
  <si>
    <t>TRUCK NO.</t>
  </si>
  <si>
    <t>CONSIGNOR</t>
  </si>
  <si>
    <t>CONSIGNEE</t>
  </si>
  <si>
    <t>ADDRESS : SIDDHARTH ENTERPRISES</t>
  </si>
  <si>
    <t>ADDRESS : M/S ULTRATECH CEMENT LTD.</t>
  </si>
  <si>
    <t>CHITTORGARH ( RAJ. )</t>
  </si>
  <si>
    <t>BAGGA CEMENT WORKS, BAGGA, DIST.SOLAN (H.P.)</t>
  </si>
  <si>
    <t>GSTIN NO. 08AFZPB0774J1ZZ</t>
  </si>
  <si>
    <t>GSTIN NO. 02AAACL6442L2ZL</t>
  </si>
  <si>
    <t>NO. OF</t>
  </si>
  <si>
    <t>GOODS AS SOLD TO BE CONTAINED</t>
  </si>
  <si>
    <t>ACTUAL WT. (MTS)</t>
  </si>
  <si>
    <t>RATE</t>
  </si>
  <si>
    <t>TOTAL FREIGHT</t>
  </si>
  <si>
    <t>ADVANCE</t>
  </si>
  <si>
    <t>REMARKS</t>
  </si>
  <si>
    <t>ARTICLES</t>
  </si>
  <si>
    <t>LOOSE</t>
  </si>
  <si>
    <t>(RED OCHER)</t>
  </si>
  <si>
    <t>NO INSURED OWNER RISK</t>
  </si>
  <si>
    <t>SIGNATURE OF CONSIGNEE</t>
  </si>
  <si>
    <t>FOR ASSOCIATED ROAD CARRIERS   SIMRAN</t>
  </si>
  <si>
    <t>SIDDHARTH ENTERPRISES</t>
  </si>
  <si>
    <t xml:space="preserve"> TAX INVOICE</t>
  </si>
  <si>
    <t xml:space="preserve">ADDRESS: SHRI RAM COLONY ,PRATAP NAGAR , CHITTORGARH-312001 (RAJASTHAN)           </t>
  </si>
  <si>
    <t>DEALS IN MINERAL &amp;INDUSTRIAL SUPPLIERS</t>
  </si>
  <si>
    <t>MOB. NO. 9414110933, 9463651769</t>
  </si>
  <si>
    <t>M/S SIDDHARTH ENTERPRISES</t>
  </si>
  <si>
    <t>M/S ULTRATECH CEMENT LTD.</t>
  </si>
  <si>
    <t>SHRI RAM COLONY, PRATAP NAGAR,</t>
  </si>
  <si>
    <t>BAGGA CEMENT WORKS, BAGGA,</t>
  </si>
  <si>
    <t>CHITTORGARH ( RAJASTHAN ) CODE : 08</t>
  </si>
  <si>
    <t>DIST.SOLAN (H.P.) 02</t>
  </si>
  <si>
    <t>STATE OF SUPPLY : RAJASTHAN</t>
  </si>
  <si>
    <t>GSTIN 02AAC164421221</t>
  </si>
  <si>
    <r>
      <rPr>
        <sz val="12"/>
        <color rgb="FF000000"/>
        <rFont val="Calibri"/>
        <charset val="1"/>
      </rPr>
      <t xml:space="preserve">FROM  </t>
    </r>
    <r>
      <rPr>
        <u/>
        <sz val="12"/>
        <color rgb="FF000000"/>
        <rFont val="Calibri"/>
        <charset val="1"/>
      </rPr>
      <t>GHANAULI</t>
    </r>
    <r>
      <rPr>
        <sz val="12"/>
        <color rgb="FF000000"/>
        <rFont val="Calibri"/>
        <charset val="1"/>
      </rPr>
      <t xml:space="preserve">  TO  </t>
    </r>
    <r>
      <rPr>
        <u/>
        <sz val="12"/>
        <color rgb="FF000000"/>
        <rFont val="Calibri"/>
        <charset val="1"/>
      </rPr>
      <t>BAGA (H.P)</t>
    </r>
  </si>
  <si>
    <t>R.R NO :</t>
  </si>
  <si>
    <t>SNIN CODE</t>
  </si>
  <si>
    <t>DESCRIPTION OF MATERIAL</t>
  </si>
  <si>
    <t>QTY(MT)</t>
  </si>
  <si>
    <t>RATE PER MT</t>
  </si>
  <si>
    <t>AMOUNT</t>
  </si>
  <si>
    <t>RED OCHRE LOOSE</t>
  </si>
  <si>
    <t>TOTAL</t>
  </si>
  <si>
    <t>IGST 5%</t>
  </si>
  <si>
    <t>NET AMOUNT</t>
  </si>
  <si>
    <t>FOR SIDDHARTH ENTERPRISES</t>
  </si>
  <si>
    <t>SIMRAN</t>
  </si>
  <si>
    <t>GST No. 08AFZPB0774J1ZZ</t>
  </si>
  <si>
    <t>SHRI RAM COLONY ,PRATAP NAGAR , CHITTORGARH-312001 (RAJASTHAN)</t>
  </si>
  <si>
    <t>e-mail :                                                                                                                Ph. 9414110933, 9463651769</t>
  </si>
  <si>
    <t>State Name : RAJASTHAN, State Code : 08</t>
  </si>
  <si>
    <t>CONSIGNOR :</t>
  </si>
  <si>
    <t>RR No</t>
  </si>
  <si>
    <t>CHITTORGARH ( RAJASTHAN )</t>
  </si>
  <si>
    <t>GR No</t>
  </si>
  <si>
    <t>GSTIN           :   08AFZPB0774J1ZZ</t>
  </si>
  <si>
    <t>TRUCK No</t>
  </si>
  <si>
    <t>CONSIGNEE :</t>
  </si>
  <si>
    <t>State Name: HIMACHAL PRADESH</t>
  </si>
  <si>
    <t>BAGGA CEMENT WORKS, BAGGA, DIST.SOLAN</t>
  </si>
  <si>
    <t>State Code: 02</t>
  </si>
  <si>
    <t>GSTIN           :   02AAC164421221</t>
  </si>
  <si>
    <r>
      <rPr>
        <b/>
        <sz val="12"/>
        <rFont val="Calibri"/>
        <charset val="134"/>
      </rPr>
      <t xml:space="preserve">FROM  </t>
    </r>
    <r>
      <rPr>
        <b/>
        <i/>
        <u/>
        <sz val="12"/>
        <rFont val="Calibri"/>
        <charset val="134"/>
      </rPr>
      <t>GHANAULI</t>
    </r>
    <r>
      <rPr>
        <b/>
        <sz val="12"/>
        <rFont val="Calibri"/>
        <charset val="134"/>
      </rPr>
      <t xml:space="preserve">  TO  </t>
    </r>
    <r>
      <rPr>
        <b/>
        <i/>
        <u/>
        <sz val="12"/>
        <rFont val="Calibri"/>
        <charset val="134"/>
      </rPr>
      <t>BAGA (H.P)</t>
    </r>
  </si>
  <si>
    <t>S.No</t>
  </si>
  <si>
    <t>Description</t>
  </si>
  <si>
    <t>HSN Code</t>
  </si>
  <si>
    <t>Qty(MTS)</t>
  </si>
  <si>
    <t>Rate</t>
  </si>
  <si>
    <t>Amount</t>
  </si>
  <si>
    <t>Total Value</t>
  </si>
  <si>
    <t>IGST  5%</t>
  </si>
  <si>
    <t>Grand Total</t>
  </si>
  <si>
    <r>
      <rPr>
        <b/>
        <sz val="11"/>
        <color rgb="FF000000"/>
        <rFont val="Arial"/>
        <charset val="134"/>
      </rPr>
      <t xml:space="preserve">For  SIDDHARTH ENTERPRISES
</t>
    </r>
    <r>
      <rPr>
        <b/>
        <i/>
        <sz val="11"/>
        <color rgb="FF000000"/>
        <rFont val="Arial"/>
        <charset val="134"/>
      </rPr>
      <t>SIMRAN</t>
    </r>
  </si>
</sst>
</file>

<file path=xl/styles.xml><?xml version="1.0" encoding="utf-8"?>
<styleSheet xmlns="http://schemas.openxmlformats.org/spreadsheetml/2006/main">
  <numFmts count="9">
    <numFmt numFmtId="176" formatCode="dd/mm/yyyy"/>
    <numFmt numFmtId="177" formatCode="0.000"/>
    <numFmt numFmtId="178" formatCode="_ * #,##0.00_ ;_ * \-#,##0.00_ ;_ * &quot;-&quot;??_ ;_ @_ "/>
    <numFmt numFmtId="179" formatCode="_ * #,##0_ ;_ * \-#,##0_ ;_ * &quot;-&quot;_ ;_ @_ "/>
    <numFmt numFmtId="180" formatCode="_(&quot;₹&quot;* #,##0.00_);_(&quot;₹&quot;* \(#,##0.00\);_(&quot;₹&quot;* \-??_);_(@_)"/>
    <numFmt numFmtId="181" formatCode="_ &quot;₹&quot;\ * #,##0_ ;_ &quot;₹&quot;\ * \-#,##0_ ;_ &quot;₹&quot;\ * &quot;-&quot;_ ;_ @_ "/>
    <numFmt numFmtId="182" formatCode="0.00_ "/>
    <numFmt numFmtId="183" formatCode="_(&quot;₹&quot;* #,##0_);_(&quot;₹&quot;* \(#,##0\);_(&quot;₹&quot;* \-??_);_(@_)"/>
    <numFmt numFmtId="184" formatCode="_ &quot;₹ &quot;* #,##0_ ;_ &quot;₹ &quot;* \-#,##0_ ;_ &quot;₹ &quot;* \-??_ ;_ @_ "/>
  </numFmts>
  <fonts count="62">
    <font>
      <sz val="11"/>
      <color rgb="FF000000"/>
      <name val="Calibri"/>
      <charset val="1"/>
    </font>
    <font>
      <sz val="11"/>
      <name val="宋体"/>
      <charset val="134"/>
    </font>
    <font>
      <sz val="11"/>
      <color rgb="FF000000"/>
      <name val="Times New Roman"/>
      <charset val="134"/>
    </font>
    <font>
      <b/>
      <sz val="11"/>
      <color rgb="FF000000"/>
      <name val="宋体"/>
      <charset val="134"/>
    </font>
    <font>
      <sz val="11"/>
      <color rgb="FF000000"/>
      <name val="宋体"/>
      <charset val="134"/>
    </font>
    <font>
      <sz val="10"/>
      <color rgb="FF000000"/>
      <name val="Times New Roman"/>
      <charset val="134"/>
    </font>
    <font>
      <b/>
      <sz val="24"/>
      <color rgb="FF5F4979"/>
      <name val="Arial"/>
      <charset val="134"/>
    </font>
    <font>
      <sz val="11"/>
      <color rgb="FF000000"/>
      <name val="Arial"/>
      <charset val="134"/>
    </font>
    <font>
      <b/>
      <sz val="12"/>
      <color rgb="FF5F4979"/>
      <name val="Arial"/>
      <charset val="134"/>
    </font>
    <font>
      <sz val="8"/>
      <color rgb="FF000000"/>
      <name val="Arial"/>
      <charset val="134"/>
    </font>
    <font>
      <b/>
      <sz val="10"/>
      <name val="Arial"/>
      <charset val="134"/>
    </font>
    <font>
      <b/>
      <sz val="10"/>
      <color rgb="FF000000"/>
      <name val="Arial"/>
      <charset val="134"/>
    </font>
    <font>
      <b/>
      <sz val="11"/>
      <color rgb="FF000000"/>
      <name val="Arial"/>
      <charset val="134"/>
    </font>
    <font>
      <b/>
      <sz val="12"/>
      <color rgb="FF000000"/>
      <name val="Calibri"/>
      <charset val="134"/>
    </font>
    <font>
      <u/>
      <sz val="11"/>
      <color rgb="FF000000"/>
      <name val="Arial"/>
      <charset val="134"/>
    </font>
    <font>
      <b/>
      <sz val="12"/>
      <name val="Calibri"/>
      <charset val="134"/>
    </font>
    <font>
      <sz val="12"/>
      <color rgb="FF000000"/>
      <name val="Calibri"/>
      <charset val="134"/>
    </font>
    <font>
      <b/>
      <sz val="14"/>
      <color rgb="FF000000"/>
      <name val="Calibri"/>
      <charset val="134"/>
    </font>
    <font>
      <sz val="10"/>
      <color rgb="FF000000"/>
      <name val="Arial"/>
      <charset val="134"/>
    </font>
    <font>
      <sz val="12"/>
      <color rgb="FF000000"/>
      <name val="Arial"/>
      <charset val="134"/>
    </font>
    <font>
      <b/>
      <sz val="26"/>
      <color rgb="FF000000"/>
      <name val="Bookman Old Style"/>
      <charset val="1"/>
    </font>
    <font>
      <b/>
      <sz val="12"/>
      <color rgb="FF000000"/>
      <name val="Calibri"/>
      <charset val="1"/>
    </font>
    <font>
      <b/>
      <sz val="11"/>
      <color rgb="FF000000"/>
      <name val="Calibri"/>
      <charset val="1"/>
    </font>
    <font>
      <b/>
      <u/>
      <sz val="12"/>
      <color rgb="FF000000"/>
      <name val="Calibri"/>
      <charset val="1"/>
    </font>
    <font>
      <sz val="12"/>
      <color rgb="FF000000"/>
      <name val="Calibri"/>
      <charset val="1"/>
    </font>
    <font>
      <b/>
      <sz val="16"/>
      <color rgb="FF000000"/>
      <name val="Calibri"/>
      <charset val="1"/>
    </font>
    <font>
      <b/>
      <i/>
      <sz val="11"/>
      <color rgb="FF000000"/>
      <name val="Calibri"/>
      <charset val="1"/>
    </font>
    <font>
      <b/>
      <sz val="18"/>
      <color rgb="FF000000"/>
      <name val="Bookman Old Style"/>
      <charset val="1"/>
    </font>
    <font>
      <sz val="18"/>
      <color rgb="FF000000"/>
      <name val="Calibri"/>
      <charset val="1"/>
    </font>
    <font>
      <b/>
      <i/>
      <u/>
      <sz val="11"/>
      <color rgb="FF000000"/>
      <name val="Calibri"/>
      <charset val="1"/>
    </font>
    <font>
      <b/>
      <sz val="28"/>
      <color rgb="FF000000"/>
      <name val="Bookman Old Style"/>
      <charset val="1"/>
    </font>
    <font>
      <b/>
      <u/>
      <sz val="14"/>
      <color rgb="FF000000"/>
      <name val="Calibri"/>
      <charset val="1"/>
    </font>
    <font>
      <i/>
      <sz val="14"/>
      <color rgb="FF000000"/>
      <name val="Calibri"/>
      <charset val="1"/>
    </font>
    <font>
      <b/>
      <i/>
      <sz val="14"/>
      <color rgb="FF000000"/>
      <name val="Calibri"/>
      <charset val="1"/>
    </font>
    <font>
      <b/>
      <sz val="26"/>
      <color rgb="FF000000"/>
      <name val="Calibri"/>
      <charset val="1"/>
    </font>
    <font>
      <b/>
      <sz val="14"/>
      <color rgb="FF000000"/>
      <name val="Calibri"/>
      <charset val="1"/>
    </font>
    <font>
      <b/>
      <sz val="10"/>
      <color rgb="FF000000"/>
      <name val="Bahnschrift SemiBold Condensed"/>
      <charset val="1"/>
    </font>
    <font>
      <sz val="10"/>
      <name val="Arial"/>
      <charset val="134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rgb="FF3F3F76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sz val="11"/>
      <color theme="1"/>
      <name val="Calibri"/>
      <charset val="134"/>
      <scheme val="minor"/>
    </font>
    <font>
      <b/>
      <sz val="18"/>
      <color theme="3"/>
      <name val="Calibri"/>
      <charset val="134"/>
      <scheme val="minor"/>
    </font>
    <font>
      <sz val="11"/>
      <color rgb="FFFA7D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i/>
      <u/>
      <sz val="12"/>
      <name val="Calibri"/>
      <charset val="134"/>
    </font>
    <font>
      <b/>
      <i/>
      <sz val="11"/>
      <color rgb="FF000000"/>
      <name val="Arial"/>
      <charset val="134"/>
    </font>
    <font>
      <u/>
      <sz val="12"/>
      <color rgb="FF000000"/>
      <name val="Calibri"/>
      <charset val="1"/>
    </font>
    <font>
      <i/>
      <u/>
      <sz val="14"/>
      <color rgb="FF000000"/>
      <name val="Calibri"/>
      <charset val="1"/>
    </font>
  </fonts>
  <fills count="38">
    <fill>
      <patternFill patternType="none"/>
    </fill>
    <fill>
      <patternFill patternType="gray125"/>
    </fill>
    <fill>
      <patternFill patternType="solid">
        <fgColor rgb="FFB2A1C6"/>
        <bgColor indexed="64"/>
      </patternFill>
    </fill>
    <fill>
      <patternFill patternType="solid">
        <fgColor rgb="FFFFFFFF"/>
        <bgColor rgb="FFE7E6E6"/>
      </patternFill>
    </fill>
    <fill>
      <patternFill patternType="solid">
        <fgColor rgb="FFE7E6E6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A6A6A6"/>
        <bgColor rgb="FFC0C0C0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</fills>
  <borders count="5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0" fontId="39" fillId="10" borderId="0" applyNumberFormat="0" applyBorder="0" applyAlignment="0" applyProtection="0">
      <alignment vertical="center"/>
    </xf>
    <xf numFmtId="178" fontId="37" fillId="0" borderId="0" applyBorder="0" applyAlignment="0" applyProtection="0"/>
    <xf numFmtId="179" fontId="37" fillId="0" borderId="0" applyBorder="0" applyAlignment="0" applyProtection="0"/>
    <xf numFmtId="181" fontId="37" fillId="0" borderId="0" applyBorder="0" applyAlignment="0" applyProtection="0"/>
    <xf numFmtId="180" fontId="0" fillId="0" borderId="0" applyBorder="0" applyProtection="0"/>
    <xf numFmtId="9" fontId="37" fillId="0" borderId="0" applyBorder="0" applyAlignment="0" applyProtection="0"/>
    <xf numFmtId="0" fontId="42" fillId="0" borderId="0" applyNumberFormat="0" applyFill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3" fillId="16" borderId="49" applyNumberFormat="0" applyAlignment="0" applyProtection="0">
      <alignment vertical="center"/>
    </xf>
    <xf numFmtId="0" fontId="44" fillId="0" borderId="50" applyNumberFormat="0" applyFill="0" applyAlignment="0" applyProtection="0">
      <alignment vertical="center"/>
    </xf>
    <xf numFmtId="0" fontId="46" fillId="18" borderId="51" applyNumberFormat="0" applyFont="0" applyAlignment="0" applyProtection="0">
      <alignment vertical="center"/>
    </xf>
    <xf numFmtId="0" fontId="39" fillId="13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39" fillId="19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50" fillId="0" borderId="50" applyNumberFormat="0" applyFill="0" applyAlignment="0" applyProtection="0">
      <alignment vertical="center"/>
    </xf>
    <xf numFmtId="0" fontId="49" fillId="0" borderId="53" applyNumberFormat="0" applyFill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0" fillId="9" borderId="48" applyNumberFormat="0" applyAlignment="0" applyProtection="0">
      <alignment vertical="center"/>
    </xf>
    <xf numFmtId="0" fontId="38" fillId="25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5" fillId="28" borderId="55" applyNumberFormat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0" fontId="56" fillId="28" borderId="48" applyNumberFormat="0" applyAlignment="0" applyProtection="0">
      <alignment vertical="center"/>
    </xf>
    <xf numFmtId="0" fontId="48" fillId="0" borderId="52" applyNumberFormat="0" applyFill="0" applyAlignment="0" applyProtection="0">
      <alignment vertical="center"/>
    </xf>
    <xf numFmtId="0" fontId="54" fillId="0" borderId="54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2" fillId="22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39" fillId="32" borderId="0" applyNumberFormat="0" applyBorder="0" applyAlignment="0" applyProtection="0">
      <alignment vertical="center"/>
    </xf>
    <xf numFmtId="0" fontId="38" fillId="30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9" fillId="17" borderId="0" applyNumberFormat="0" applyBorder="0" applyAlignment="0" applyProtection="0">
      <alignment vertical="center"/>
    </xf>
    <xf numFmtId="0" fontId="39" fillId="12" borderId="0" applyNumberFormat="0" applyBorder="0" applyAlignment="0" applyProtection="0">
      <alignment vertical="center"/>
    </xf>
    <xf numFmtId="0" fontId="38" fillId="26" borderId="0" applyNumberFormat="0" applyBorder="0" applyAlignment="0" applyProtection="0">
      <alignment vertical="center"/>
    </xf>
    <xf numFmtId="0" fontId="38" fillId="7" borderId="0" applyNumberFormat="0" applyBorder="0" applyAlignment="0" applyProtection="0">
      <alignment vertical="center"/>
    </xf>
    <xf numFmtId="0" fontId="39" fillId="29" borderId="0" applyNumberFormat="0" applyBorder="0" applyAlignment="0" applyProtection="0">
      <alignment vertical="center"/>
    </xf>
    <xf numFmtId="0" fontId="38" fillId="35" borderId="0" applyNumberFormat="0" applyBorder="0" applyAlignment="0" applyProtection="0">
      <alignment vertical="center"/>
    </xf>
    <xf numFmtId="0" fontId="39" fillId="14" borderId="0" applyNumberFormat="0" applyBorder="0" applyAlignment="0" applyProtection="0">
      <alignment vertical="center"/>
    </xf>
    <xf numFmtId="0" fontId="39" fillId="36" borderId="0" applyNumberFormat="0" applyBorder="0" applyAlignment="0" applyProtection="0">
      <alignment vertical="center"/>
    </xf>
    <xf numFmtId="0" fontId="38" fillId="37" borderId="0" applyNumberFormat="0" applyBorder="0" applyAlignment="0" applyProtection="0">
      <alignment vertical="center"/>
    </xf>
    <xf numFmtId="0" fontId="39" fillId="34" borderId="0" applyNumberFormat="0" applyBorder="0" applyAlignment="0" applyProtection="0">
      <alignment vertical="center"/>
    </xf>
    <xf numFmtId="0" fontId="38" fillId="24" borderId="0" applyNumberFormat="0" applyBorder="0" applyAlignment="0" applyProtection="0">
      <alignment vertical="center"/>
    </xf>
    <xf numFmtId="0" fontId="38" fillId="33" borderId="0" applyNumberFormat="0" applyBorder="0" applyAlignment="0" applyProtection="0">
      <alignment vertical="center"/>
    </xf>
    <xf numFmtId="0" fontId="39" fillId="23" borderId="0" applyNumberFormat="0" applyBorder="0" applyAlignment="0" applyProtection="0">
      <alignment vertical="center"/>
    </xf>
    <xf numFmtId="0" fontId="38" fillId="11" borderId="0" applyNumberFormat="0" applyBorder="0" applyAlignment="0" applyProtection="0">
      <alignment vertical="center"/>
    </xf>
  </cellStyleXfs>
  <cellXfs count="164">
    <xf numFmtId="0" fontId="0" fillId="0" borderId="0" xfId="0"/>
    <xf numFmtId="0" fontId="1" fillId="0" borderId="0" xfId="0" applyFont="1" applyFill="1" applyAlignment="1">
      <alignment vertical="center"/>
    </xf>
    <xf numFmtId="0" fontId="2" fillId="0" borderId="0" xfId="0" applyFont="1" applyFill="1" applyAlignment="1"/>
    <xf numFmtId="0" fontId="1" fillId="0" borderId="0" xfId="0" applyFont="1" applyFill="1" applyAlignment="1">
      <alignment vertical="top"/>
    </xf>
    <xf numFmtId="0" fontId="3" fillId="0" borderId="0" xfId="0" applyFont="1" applyFill="1" applyAlignment="1">
      <alignment vertical="center"/>
    </xf>
    <xf numFmtId="0" fontId="4" fillId="0" borderId="0" xfId="0" applyFont="1" applyFill="1" applyBorder="1" applyAlignment="1"/>
    <xf numFmtId="0" fontId="5" fillId="0" borderId="0" xfId="0" applyFont="1" applyFill="1" applyAlignment="1">
      <alignment horizontal="right"/>
    </xf>
    <xf numFmtId="0" fontId="2" fillId="0" borderId="0" xfId="0" applyFont="1" applyFill="1" applyAlignment="1">
      <alignment horizontal="left"/>
    </xf>
    <xf numFmtId="0" fontId="6" fillId="0" borderId="0" xfId="0" applyNumberFormat="1" applyFont="1" applyFill="1" applyAlignment="1">
      <alignment horizontal="left"/>
    </xf>
    <xf numFmtId="0" fontId="7" fillId="0" borderId="0" xfId="0" applyFont="1" applyFill="1" applyAlignment="1">
      <alignment horizontal="left"/>
    </xf>
    <xf numFmtId="0" fontId="8" fillId="0" borderId="0" xfId="0" applyFont="1" applyFill="1" applyAlignment="1">
      <alignment horizontal="left"/>
    </xf>
    <xf numFmtId="0" fontId="9" fillId="0" borderId="0" xfId="0" applyFont="1" applyFill="1" applyAlignment="1">
      <alignment horizontal="left"/>
    </xf>
    <xf numFmtId="0" fontId="10" fillId="0" borderId="0" xfId="0" applyFont="1" applyFill="1" applyAlignment="1">
      <alignment horizontal="left"/>
    </xf>
    <xf numFmtId="0" fontId="10" fillId="0" borderId="0" xfId="0" applyFont="1" applyFill="1" applyAlignment="1"/>
    <xf numFmtId="0" fontId="11" fillId="0" borderId="0" xfId="0" applyFont="1" applyFill="1" applyAlignment="1"/>
    <xf numFmtId="0" fontId="7" fillId="0" borderId="0" xfId="0" applyFont="1" applyFill="1" applyAlignment="1"/>
    <xf numFmtId="0" fontId="11" fillId="2" borderId="1" xfId="0" applyFont="1" applyFill="1" applyBorder="1" applyAlignment="1"/>
    <xf numFmtId="0" fontId="7" fillId="2" borderId="2" xfId="0" applyFont="1" applyFill="1" applyBorder="1" applyAlignment="1"/>
    <xf numFmtId="0" fontId="7" fillId="2" borderId="3" xfId="0" applyFont="1" applyFill="1" applyBorder="1" applyAlignment="1"/>
    <xf numFmtId="0" fontId="12" fillId="0" borderId="1" xfId="0" applyFont="1" applyFill="1" applyBorder="1" applyAlignment="1">
      <alignment vertical="center" wrapText="1"/>
    </xf>
    <xf numFmtId="0" fontId="12" fillId="0" borderId="2" xfId="0" applyFont="1" applyFill="1" applyBorder="1" applyAlignment="1">
      <alignment vertical="center" wrapText="1"/>
    </xf>
    <xf numFmtId="0" fontId="2" fillId="0" borderId="4" xfId="0" applyFont="1" applyFill="1" applyBorder="1" applyAlignment="1">
      <alignment vertical="center"/>
    </xf>
    <xf numFmtId="0" fontId="12" fillId="0" borderId="3" xfId="0" applyFont="1" applyFill="1" applyBorder="1" applyAlignment="1">
      <alignment vertical="center" wrapText="1"/>
    </xf>
    <xf numFmtId="0" fontId="12" fillId="0" borderId="5" xfId="0" applyFont="1" applyFill="1" applyBorder="1" applyAlignment="1">
      <alignment vertical="center" wrapText="1"/>
    </xf>
    <xf numFmtId="0" fontId="12" fillId="0" borderId="0" xfId="0" applyFont="1" applyFill="1" applyBorder="1" applyAlignment="1">
      <alignment vertical="center" wrapText="1"/>
    </xf>
    <xf numFmtId="0" fontId="13" fillId="0" borderId="6" xfId="0" applyFont="1" applyFill="1" applyBorder="1" applyAlignment="1">
      <alignment vertical="center" wrapText="1"/>
    </xf>
    <xf numFmtId="176" fontId="12" fillId="0" borderId="0" xfId="0" applyNumberFormat="1" applyFont="1" applyFill="1" applyAlignment="1">
      <alignment horizontal="center" vertical="center" wrapText="1"/>
    </xf>
    <xf numFmtId="176" fontId="12" fillId="0" borderId="7" xfId="0" applyNumberFormat="1" applyFont="1" applyFill="1" applyBorder="1" applyAlignment="1">
      <alignment horizontal="center" vertical="center" wrapText="1"/>
    </xf>
    <xf numFmtId="0" fontId="12" fillId="0" borderId="5" xfId="0" applyFont="1" applyFill="1" applyBorder="1" applyAlignment="1">
      <alignment horizontal="left" vertical="center"/>
    </xf>
    <xf numFmtId="0" fontId="12" fillId="0" borderId="0" xfId="0" applyFont="1" applyFill="1" applyAlignment="1">
      <alignment horizontal="left" vertical="center"/>
    </xf>
    <xf numFmtId="0" fontId="12" fillId="0" borderId="0" xfId="0" applyFont="1" applyFill="1" applyAlignment="1">
      <alignment vertical="center"/>
    </xf>
    <xf numFmtId="0" fontId="13" fillId="0" borderId="0" xfId="0" applyFont="1" applyFill="1" applyAlignment="1">
      <alignment horizontal="center"/>
    </xf>
    <xf numFmtId="0" fontId="13" fillId="0" borderId="7" xfId="0" applyFont="1" applyFill="1" applyBorder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3" fillId="0" borderId="0" xfId="0" applyFont="1" applyFill="1" applyBorder="1" applyAlignment="1">
      <alignment horizontal="right" vertical="center" wrapText="1"/>
    </xf>
    <xf numFmtId="0" fontId="13" fillId="0" borderId="7" xfId="0" applyFont="1" applyFill="1" applyBorder="1" applyAlignment="1">
      <alignment horizontal="left" vertical="center" wrapText="1"/>
    </xf>
    <xf numFmtId="0" fontId="12" fillId="0" borderId="8" xfId="0" applyFont="1" applyFill="1" applyBorder="1" applyAlignment="1">
      <alignment vertical="top" wrapText="1"/>
    </xf>
    <xf numFmtId="0" fontId="12" fillId="0" borderId="9" xfId="0" applyFont="1" applyFill="1" applyBorder="1" applyAlignment="1">
      <alignment vertical="top" wrapText="1"/>
    </xf>
    <xf numFmtId="0" fontId="13" fillId="0" borderId="10" xfId="0" applyFont="1" applyFill="1" applyBorder="1" applyAlignment="1">
      <alignment vertical="top" wrapText="1"/>
    </xf>
    <xf numFmtId="0" fontId="13" fillId="0" borderId="9" xfId="0" applyFont="1" applyFill="1" applyBorder="1" applyAlignment="1">
      <alignment horizontal="center" vertical="top" wrapText="1"/>
    </xf>
    <xf numFmtId="0" fontId="13" fillId="0" borderId="11" xfId="0" applyFont="1" applyFill="1" applyBorder="1" applyAlignment="1">
      <alignment horizontal="center" vertical="top" wrapText="1"/>
    </xf>
    <xf numFmtId="0" fontId="14" fillId="0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7" fillId="0" borderId="7" xfId="0" applyFont="1" applyFill="1" applyBorder="1" applyAlignment="1">
      <alignment vertical="center" wrapText="1"/>
    </xf>
    <xf numFmtId="0" fontId="7" fillId="0" borderId="5" xfId="0" applyFont="1" applyFill="1" applyBorder="1" applyAlignment="1">
      <alignment vertical="center" wrapText="1"/>
    </xf>
    <xf numFmtId="0" fontId="7" fillId="0" borderId="7" xfId="0" applyFont="1" applyFill="1" applyBorder="1" applyAlignment="1">
      <alignment vertical="center"/>
    </xf>
    <xf numFmtId="0" fontId="7" fillId="0" borderId="5" xfId="0" applyFont="1" applyFill="1" applyBorder="1" applyAlignment="1">
      <alignment vertical="top" wrapText="1"/>
    </xf>
    <xf numFmtId="0" fontId="7" fillId="0" borderId="0" xfId="0" applyFont="1" applyFill="1" applyBorder="1" applyAlignment="1">
      <alignment vertical="top" wrapText="1"/>
    </xf>
    <xf numFmtId="0" fontId="7" fillId="0" borderId="0" xfId="0" applyFont="1" applyFill="1" applyBorder="1" applyAlignment="1">
      <alignment vertical="top"/>
    </xf>
    <xf numFmtId="0" fontId="7" fillId="0" borderId="7" xfId="0" applyFont="1" applyFill="1" applyBorder="1" applyAlignment="1">
      <alignment vertical="top"/>
    </xf>
    <xf numFmtId="0" fontId="15" fillId="0" borderId="12" xfId="0" applyFont="1" applyFill="1" applyBorder="1" applyAlignment="1">
      <alignment horizontal="center" vertical="center"/>
    </xf>
    <xf numFmtId="0" fontId="15" fillId="0" borderId="13" xfId="0" applyFont="1" applyFill="1" applyBorder="1" applyAlignment="1">
      <alignment horizontal="center" vertical="center"/>
    </xf>
    <xf numFmtId="0" fontId="15" fillId="0" borderId="14" xfId="0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 wrapText="1"/>
    </xf>
    <xf numFmtId="0" fontId="16" fillId="0" borderId="16" xfId="0" applyFont="1" applyFill="1" applyBorder="1" applyAlignment="1">
      <alignment horizontal="center" vertical="center" wrapText="1"/>
    </xf>
    <xf numFmtId="0" fontId="17" fillId="0" borderId="16" xfId="0" applyFont="1" applyFill="1" applyBorder="1" applyAlignment="1">
      <alignment horizontal="center" vertical="center" wrapText="1"/>
    </xf>
    <xf numFmtId="0" fontId="16" fillId="0" borderId="5" xfId="0" applyFont="1" applyFill="1" applyBorder="1" applyAlignment="1">
      <alignment horizontal="center" vertical="center" wrapText="1"/>
    </xf>
    <xf numFmtId="177" fontId="13" fillId="0" borderId="16" xfId="0" applyNumberFormat="1" applyFont="1" applyFill="1" applyBorder="1" applyAlignment="1">
      <alignment horizontal="center" vertical="center" wrapText="1"/>
    </xf>
    <xf numFmtId="0" fontId="13" fillId="0" borderId="16" xfId="0" applyFont="1" applyFill="1" applyBorder="1" applyAlignment="1">
      <alignment horizontal="center" vertical="center" wrapText="1"/>
    </xf>
    <xf numFmtId="182" fontId="13" fillId="0" borderId="16" xfId="0" applyNumberFormat="1" applyFont="1" applyFill="1" applyBorder="1" applyAlignment="1">
      <alignment horizontal="center" vertical="center" wrapText="1"/>
    </xf>
    <xf numFmtId="0" fontId="17" fillId="0" borderId="17" xfId="0" applyFont="1" applyFill="1" applyBorder="1" applyAlignment="1">
      <alignment horizontal="center" vertical="center" wrapText="1"/>
    </xf>
    <xf numFmtId="0" fontId="16" fillId="0" borderId="8" xfId="0" applyFont="1" applyFill="1" applyBorder="1" applyAlignment="1">
      <alignment horizontal="center" vertical="center" wrapText="1"/>
    </xf>
    <xf numFmtId="0" fontId="13" fillId="0" borderId="17" xfId="0" applyFont="1" applyFill="1" applyBorder="1" applyAlignment="1">
      <alignment horizontal="center" vertical="center" wrapText="1"/>
    </xf>
    <xf numFmtId="182" fontId="13" fillId="0" borderId="17" xfId="0" applyNumberFormat="1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right" vertical="center" wrapText="1"/>
    </xf>
    <xf numFmtId="0" fontId="11" fillId="2" borderId="2" xfId="0" applyFont="1" applyFill="1" applyBorder="1" applyAlignment="1">
      <alignment horizontal="right" vertical="center" wrapText="1"/>
    </xf>
    <xf numFmtId="182" fontId="11" fillId="2" borderId="3" xfId="0" applyNumberFormat="1" applyFont="1" applyFill="1" applyBorder="1" applyAlignment="1">
      <alignment vertical="center" wrapText="1"/>
    </xf>
    <xf numFmtId="0" fontId="18" fillId="0" borderId="18" xfId="0" applyFont="1" applyFill="1" applyBorder="1" applyAlignment="1">
      <alignment horizontal="center" vertical="center" wrapText="1"/>
    </xf>
    <xf numFmtId="0" fontId="18" fillId="0" borderId="19" xfId="0" applyFont="1" applyFill="1" applyBorder="1" applyAlignment="1">
      <alignment horizontal="center" vertical="center" wrapText="1"/>
    </xf>
    <xf numFmtId="0" fontId="11" fillId="0" borderId="19" xfId="0" applyFont="1" applyFill="1" applyBorder="1" applyAlignment="1">
      <alignment horizontal="right" vertical="center" wrapText="1"/>
    </xf>
    <xf numFmtId="9" fontId="11" fillId="0" borderId="19" xfId="0" applyNumberFormat="1" applyFont="1" applyFill="1" applyBorder="1" applyAlignment="1">
      <alignment horizontal="right" vertical="center" wrapText="1"/>
    </xf>
    <xf numFmtId="182" fontId="11" fillId="0" borderId="20" xfId="0" applyNumberFormat="1" applyFont="1" applyFill="1" applyBorder="1" applyAlignment="1">
      <alignment vertical="center" wrapText="1"/>
    </xf>
    <xf numFmtId="0" fontId="11" fillId="2" borderId="8" xfId="0" applyFont="1" applyFill="1" applyBorder="1" applyAlignment="1">
      <alignment horizontal="right" vertical="center" wrapText="1"/>
    </xf>
    <xf numFmtId="0" fontId="11" fillId="2" borderId="9" xfId="0" applyFont="1" applyFill="1" applyBorder="1" applyAlignment="1">
      <alignment horizontal="right" vertical="center" wrapText="1"/>
    </xf>
    <xf numFmtId="182" fontId="11" fillId="2" borderId="11" xfId="0" applyNumberFormat="1" applyFont="1" applyFill="1" applyBorder="1" applyAlignment="1">
      <alignment vertical="center" wrapText="1"/>
    </xf>
    <xf numFmtId="0" fontId="19" fillId="0" borderId="0" xfId="0" applyFont="1" applyFill="1" applyAlignment="1"/>
    <xf numFmtId="0" fontId="12" fillId="0" borderId="0" xfId="0" applyFont="1" applyFill="1" applyBorder="1" applyAlignment="1">
      <alignment horizontal="right" vertical="top" wrapText="1"/>
    </xf>
    <xf numFmtId="0" fontId="0" fillId="0" borderId="0" xfId="0" applyAlignment="1" applyProtection="1"/>
    <xf numFmtId="0" fontId="20" fillId="3" borderId="15" xfId="0" applyFont="1" applyFill="1" applyBorder="1" applyAlignment="1" applyProtection="1">
      <alignment horizontal="center"/>
    </xf>
    <xf numFmtId="0" fontId="21" fillId="4" borderId="15" xfId="0" applyFont="1" applyFill="1" applyBorder="1" applyAlignment="1" applyProtection="1">
      <alignment horizontal="center"/>
    </xf>
    <xf numFmtId="0" fontId="22" fillId="3" borderId="21" xfId="0" applyFont="1" applyFill="1" applyBorder="1" applyAlignment="1" applyProtection="1">
      <alignment horizontal="left" vertical="center"/>
    </xf>
    <xf numFmtId="0" fontId="22" fillId="3" borderId="16" xfId="0" applyFont="1" applyFill="1" applyBorder="1" applyAlignment="1" applyProtection="1">
      <alignment horizontal="left" vertical="top"/>
    </xf>
    <xf numFmtId="0" fontId="22" fillId="0" borderId="8" xfId="0" applyFont="1" applyBorder="1" applyAlignment="1" applyProtection="1">
      <alignment horizontal="left"/>
    </xf>
    <xf numFmtId="0" fontId="22" fillId="0" borderId="11" xfId="0" applyFont="1" applyBorder="1" applyAlignment="1" applyProtection="1">
      <alignment horizontal="right"/>
    </xf>
    <xf numFmtId="0" fontId="23" fillId="0" borderId="1" xfId="0" applyFont="1" applyBorder="1" applyAlignment="1" applyProtection="1"/>
    <xf numFmtId="0" fontId="23" fillId="0" borderId="2" xfId="0" applyFont="1" applyBorder="1" applyAlignment="1" applyProtection="1"/>
    <xf numFmtId="0" fontId="22" fillId="0" borderId="22" xfId="0" applyFont="1" applyBorder="1" applyAlignment="1" applyProtection="1"/>
    <xf numFmtId="0" fontId="23" fillId="0" borderId="23" xfId="0" applyFont="1" applyBorder="1" applyAlignment="1" applyProtection="1"/>
    <xf numFmtId="0" fontId="22" fillId="0" borderId="24" xfId="0" applyFont="1" applyBorder="1" applyAlignment="1" applyProtection="1">
      <alignment horizontal="left"/>
    </xf>
    <xf numFmtId="0" fontId="22" fillId="0" borderId="0" xfId="0" applyFont="1" applyAlignment="1" applyProtection="1"/>
    <xf numFmtId="0" fontId="0" fillId="0" borderId="7" xfId="0" applyBorder="1" applyAlignment="1" applyProtection="1"/>
    <xf numFmtId="0" fontId="22" fillId="0" borderId="25" xfId="0" applyFont="1" applyBorder="1" applyAlignment="1" applyProtection="1">
      <alignment horizontal="left"/>
    </xf>
    <xf numFmtId="0" fontId="22" fillId="0" borderId="0" xfId="0" applyFont="1" applyBorder="1" applyAlignment="1" applyProtection="1"/>
    <xf numFmtId="0" fontId="24" fillId="0" borderId="26" xfId="0" applyFont="1" applyBorder="1" applyAlignment="1" applyProtection="1">
      <alignment horizontal="center" vertical="center"/>
    </xf>
    <xf numFmtId="0" fontId="21" fillId="0" borderId="26" xfId="0" applyFont="1" applyBorder="1" applyAlignment="1" applyProtection="1">
      <alignment horizontal="center" vertical="center"/>
    </xf>
    <xf numFmtId="0" fontId="21" fillId="0" borderId="27" xfId="0" applyFont="1" applyBorder="1" applyAlignment="1" applyProtection="1">
      <alignment vertical="center"/>
    </xf>
    <xf numFmtId="0" fontId="21" fillId="0" borderId="28" xfId="0" applyFont="1" applyBorder="1" applyAlignment="1" applyProtection="1">
      <alignment horizontal="right" vertical="center"/>
    </xf>
    <xf numFmtId="0" fontId="21" fillId="0" borderId="29" xfId="0" applyFont="1" applyBorder="1" applyAlignment="1" applyProtection="1">
      <alignment horizontal="left" vertical="center"/>
    </xf>
    <xf numFmtId="0" fontId="21" fillId="0" borderId="12" xfId="0" applyFont="1" applyBorder="1" applyAlignment="1" applyProtection="1">
      <alignment horizontal="center" vertical="center"/>
    </xf>
    <xf numFmtId="0" fontId="21" fillId="0" borderId="30" xfId="0" applyFont="1" applyBorder="1" applyAlignment="1" applyProtection="1">
      <alignment horizontal="left" vertical="center"/>
    </xf>
    <xf numFmtId="0" fontId="21" fillId="0" borderId="31" xfId="0" applyFont="1" applyBorder="1" applyAlignment="1" applyProtection="1">
      <alignment horizontal="left" vertical="center"/>
    </xf>
    <xf numFmtId="176" fontId="21" fillId="0" borderId="32" xfId="0" applyNumberFormat="1" applyFont="1" applyBorder="1" applyAlignment="1" applyProtection="1">
      <alignment horizontal="center" vertical="center"/>
    </xf>
    <xf numFmtId="0" fontId="21" fillId="0" borderId="33" xfId="0" applyFont="1" applyBorder="1" applyAlignment="1" applyProtection="1">
      <alignment horizontal="left" vertical="center"/>
    </xf>
    <xf numFmtId="0" fontId="21" fillId="0" borderId="34" xfId="0" applyFont="1" applyBorder="1" applyAlignment="1" applyProtection="1">
      <alignment horizontal="center" vertical="center"/>
    </xf>
    <xf numFmtId="0" fontId="22" fillId="5" borderId="24" xfId="0" applyFont="1" applyFill="1" applyBorder="1" applyAlignment="1" applyProtection="1">
      <alignment vertical="center"/>
    </xf>
    <xf numFmtId="0" fontId="22" fillId="5" borderId="27" xfId="0" applyFont="1" applyFill="1" applyBorder="1" applyAlignment="1" applyProtection="1">
      <alignment horizontal="center" vertical="center"/>
    </xf>
    <xf numFmtId="0" fontId="21" fillId="5" borderId="35" xfId="0" applyFont="1" applyFill="1" applyBorder="1" applyAlignment="1" applyProtection="1">
      <alignment horizontal="center" vertical="center"/>
    </xf>
    <xf numFmtId="0" fontId="21" fillId="5" borderId="36" xfId="0" applyFont="1" applyFill="1" applyBorder="1" applyAlignment="1" applyProtection="1">
      <alignment horizontal="right" vertical="center"/>
    </xf>
    <xf numFmtId="0" fontId="21" fillId="0" borderId="37" xfId="0" applyFont="1" applyBorder="1" applyAlignment="1" applyProtection="1">
      <alignment horizontal="center"/>
    </xf>
    <xf numFmtId="0" fontId="25" fillId="0" borderId="31" xfId="0" applyFont="1" applyBorder="1" applyAlignment="1" applyProtection="1">
      <alignment horizontal="center" vertical="center"/>
    </xf>
    <xf numFmtId="177" fontId="21" fillId="0" borderId="31" xfId="0" applyNumberFormat="1" applyFont="1" applyBorder="1" applyAlignment="1" applyProtection="1">
      <alignment horizontal="center" vertical="center"/>
    </xf>
    <xf numFmtId="1" fontId="21" fillId="0" borderId="31" xfId="0" applyNumberFormat="1" applyFont="1" applyBorder="1" applyAlignment="1" applyProtection="1">
      <alignment horizontal="center" vertical="center"/>
    </xf>
    <xf numFmtId="2" fontId="21" fillId="0" borderId="32" xfId="0" applyNumberFormat="1" applyFont="1" applyBorder="1" applyAlignment="1" applyProtection="1">
      <alignment horizontal="right" vertical="center"/>
    </xf>
    <xf numFmtId="0" fontId="0" fillId="0" borderId="5" xfId="0" applyBorder="1" applyAlignment="1" applyProtection="1"/>
    <xf numFmtId="0" fontId="0" fillId="0" borderId="38" xfId="0" applyBorder="1" applyAlignment="1" applyProtection="1"/>
    <xf numFmtId="0" fontId="22" fillId="0" borderId="39" xfId="0" applyFont="1" applyBorder="1" applyAlignment="1" applyProtection="1"/>
    <xf numFmtId="2" fontId="22" fillId="0" borderId="40" xfId="0" applyNumberFormat="1" applyFont="1" applyBorder="1" applyAlignment="1" applyProtection="1"/>
    <xf numFmtId="0" fontId="22" fillId="0" borderId="31" xfId="0" applyFont="1" applyBorder="1" applyAlignment="1" applyProtection="1"/>
    <xf numFmtId="2" fontId="22" fillId="0" borderId="32" xfId="0" applyNumberFormat="1" applyFont="1" applyBorder="1" applyAlignment="1" applyProtection="1"/>
    <xf numFmtId="0" fontId="22" fillId="0" borderId="41" xfId="0" applyFont="1" applyBorder="1" applyAlignment="1" applyProtection="1"/>
    <xf numFmtId="0" fontId="22" fillId="0" borderId="21" xfId="0" applyFont="1" applyBorder="1" applyAlignment="1" applyProtection="1">
      <alignment horizontal="right"/>
    </xf>
    <xf numFmtId="0" fontId="22" fillId="0" borderId="5" xfId="0" applyFont="1" applyBorder="1" applyAlignment="1" applyProtection="1">
      <alignment horizontal="right"/>
    </xf>
    <xf numFmtId="0" fontId="22" fillId="0" borderId="0" xfId="0" applyFont="1" applyAlignment="1" applyProtection="1">
      <alignment horizontal="right"/>
    </xf>
    <xf numFmtId="0" fontId="22" fillId="0" borderId="7" xfId="0" applyFont="1" applyBorder="1" applyAlignment="1" applyProtection="1">
      <alignment horizontal="right"/>
    </xf>
    <xf numFmtId="0" fontId="22" fillId="0" borderId="8" xfId="0" applyFont="1" applyBorder="1" applyAlignment="1" applyProtection="1"/>
    <xf numFmtId="0" fontId="22" fillId="0" borderId="9" xfId="0" applyFont="1" applyBorder="1" applyAlignment="1" applyProtection="1"/>
    <xf numFmtId="0" fontId="26" fillId="0" borderId="11" xfId="0" applyFont="1" applyBorder="1" applyAlignment="1" applyProtection="1">
      <alignment horizontal="center"/>
    </xf>
    <xf numFmtId="0" fontId="27" fillId="0" borderId="42" xfId="0" applyFont="1" applyBorder="1" applyAlignment="1" applyProtection="1">
      <alignment horizontal="center"/>
    </xf>
    <xf numFmtId="0" fontId="28" fillId="0" borderId="43" xfId="0" applyFont="1" applyBorder="1" applyAlignment="1" applyProtection="1">
      <alignment horizontal="center"/>
    </xf>
    <xf numFmtId="0" fontId="29" fillId="0" borderId="44" xfId="0" applyFont="1" applyBorder="1" applyAlignment="1" applyProtection="1">
      <alignment horizontal="center"/>
    </xf>
    <xf numFmtId="0" fontId="30" fillId="3" borderId="35" xfId="0" applyFont="1" applyFill="1" applyBorder="1" applyAlignment="1" applyProtection="1">
      <alignment horizontal="center" vertical="center"/>
    </xf>
    <xf numFmtId="0" fontId="31" fillId="0" borderId="41" xfId="0" applyFont="1" applyBorder="1" applyAlignment="1" applyProtection="1">
      <alignment horizontal="center"/>
    </xf>
    <xf numFmtId="0" fontId="31" fillId="0" borderId="35" xfId="0" applyFont="1" applyBorder="1" applyAlignment="1" applyProtection="1">
      <alignment horizontal="center"/>
    </xf>
    <xf numFmtId="0" fontId="32" fillId="0" borderId="45" xfId="0" applyFont="1" applyBorder="1" applyAlignment="1" applyProtection="1">
      <alignment horizontal="center" vertical="center"/>
    </xf>
    <xf numFmtId="0" fontId="33" fillId="0" borderId="45" xfId="0" applyFont="1" applyBorder="1" applyAlignment="1" applyProtection="1">
      <alignment horizontal="center" vertical="center"/>
    </xf>
    <xf numFmtId="0" fontId="31" fillId="0" borderId="6" xfId="0" applyFont="1" applyBorder="1" applyAlignment="1" applyProtection="1">
      <alignment horizontal="left"/>
    </xf>
    <xf numFmtId="0" fontId="31" fillId="0" borderId="35" xfId="0" applyFont="1" applyBorder="1" applyAlignment="1" applyProtection="1">
      <alignment horizontal="left"/>
    </xf>
    <xf numFmtId="0" fontId="21" fillId="0" borderId="6" xfId="0" applyFont="1" applyBorder="1" applyAlignment="1" applyProtection="1">
      <alignment vertical="center"/>
    </xf>
    <xf numFmtId="0" fontId="21" fillId="0" borderId="35" xfId="0" applyFont="1" applyBorder="1" applyAlignment="1" applyProtection="1">
      <alignment horizontal="left"/>
    </xf>
    <xf numFmtId="0" fontId="21" fillId="0" borderId="6" xfId="0" applyFont="1" applyBorder="1" applyAlignment="1" applyProtection="1">
      <alignment horizontal="left" vertical="center"/>
    </xf>
    <xf numFmtId="0" fontId="21" fillId="0" borderId="46" xfId="0" applyFont="1" applyBorder="1" applyAlignment="1" applyProtection="1"/>
    <xf numFmtId="0" fontId="21" fillId="0" borderId="39" xfId="0" applyFont="1" applyBorder="1" applyAlignment="1" applyProtection="1">
      <alignment horizontal="left" vertical="center"/>
    </xf>
    <xf numFmtId="0" fontId="22" fillId="5" borderId="39" xfId="0" applyFont="1" applyFill="1" applyBorder="1" applyAlignment="1" applyProtection="1">
      <alignment horizontal="center"/>
    </xf>
    <xf numFmtId="0" fontId="22" fillId="5" borderId="39" xfId="0" applyFont="1" applyFill="1" applyBorder="1" applyAlignment="1" applyProtection="1">
      <alignment horizontal="center" vertical="center"/>
    </xf>
    <xf numFmtId="0" fontId="22" fillId="5" borderId="39" xfId="0" applyFont="1" applyFill="1" applyBorder="1" applyAlignment="1" applyProtection="1">
      <alignment horizontal="center" vertical="center" wrapText="1"/>
    </xf>
    <xf numFmtId="0" fontId="22" fillId="5" borderId="31" xfId="0" applyFont="1" applyFill="1" applyBorder="1" applyAlignment="1" applyProtection="1">
      <alignment horizontal="center"/>
    </xf>
    <xf numFmtId="0" fontId="34" fillId="6" borderId="31" xfId="0" applyFont="1" applyFill="1" applyBorder="1" applyAlignment="1" applyProtection="1">
      <alignment horizontal="center" vertical="center" textRotation="255"/>
    </xf>
    <xf numFmtId="177" fontId="35" fillId="3" borderId="31" xfId="0" applyNumberFormat="1" applyFont="1" applyFill="1" applyBorder="1" applyAlignment="1" applyProtection="1">
      <alignment horizontal="center" vertical="center"/>
    </xf>
    <xf numFmtId="183" fontId="35" fillId="0" borderId="31" xfId="5" applyNumberFormat="1" applyFont="1" applyBorder="1" applyAlignment="1" applyProtection="1">
      <alignment horizontal="center" vertical="center"/>
    </xf>
    <xf numFmtId="0" fontId="21" fillId="0" borderId="25" xfId="0" applyFont="1" applyBorder="1" applyAlignment="1" applyProtection="1">
      <alignment horizontal="left"/>
    </xf>
    <xf numFmtId="0" fontId="21" fillId="0" borderId="10" xfId="0" applyFont="1" applyBorder="1" applyAlignment="1" applyProtection="1">
      <alignment horizontal="left"/>
    </xf>
    <xf numFmtId="0" fontId="21" fillId="0" borderId="44" xfId="0" applyFont="1" applyBorder="1" applyAlignment="1" applyProtection="1">
      <alignment horizontal="center" vertical="center"/>
    </xf>
    <xf numFmtId="176" fontId="21" fillId="0" borderId="31" xfId="0" applyNumberFormat="1" applyFont="1" applyBorder="1" applyAlignment="1" applyProtection="1">
      <alignment horizontal="center" vertical="center"/>
    </xf>
    <xf numFmtId="0" fontId="21" fillId="3" borderId="31" xfId="0" applyFont="1" applyFill="1" applyBorder="1" applyAlignment="1" applyProtection="1">
      <alignment horizontal="center" vertical="center"/>
    </xf>
    <xf numFmtId="0" fontId="21" fillId="3" borderId="0" xfId="0" applyFont="1" applyFill="1" applyBorder="1" applyAlignment="1" applyProtection="1">
      <alignment horizontal="right" vertical="center"/>
    </xf>
    <xf numFmtId="0" fontId="21" fillId="0" borderId="38" xfId="0" applyFont="1" applyBorder="1" applyAlignment="1" applyProtection="1">
      <alignment horizontal="left" vertical="center"/>
    </xf>
    <xf numFmtId="0" fontId="21" fillId="0" borderId="31" xfId="0" applyFont="1" applyBorder="1" applyAlignment="1" applyProtection="1">
      <alignment horizontal="center" vertical="center"/>
    </xf>
    <xf numFmtId="0" fontId="21" fillId="5" borderId="39" xfId="0" applyFont="1" applyFill="1" applyBorder="1" applyAlignment="1" applyProtection="1">
      <alignment horizontal="center" vertical="center"/>
    </xf>
    <xf numFmtId="0" fontId="0" fillId="0" borderId="31" xfId="0" applyFont="1" applyBorder="1" applyAlignment="1" applyProtection="1">
      <alignment horizontal="center"/>
    </xf>
    <xf numFmtId="184" fontId="35" fillId="0" borderId="31" xfId="5" applyNumberFormat="1" applyFont="1" applyBorder="1" applyAlignment="1" applyProtection="1">
      <alignment horizontal="center" vertical="center"/>
    </xf>
    <xf numFmtId="0" fontId="36" fillId="0" borderId="31" xfId="0" applyFont="1" applyBorder="1" applyAlignment="1" applyProtection="1">
      <alignment horizontal="center" vertical="center"/>
    </xf>
    <xf numFmtId="0" fontId="21" fillId="0" borderId="47" xfId="0" applyFont="1" applyBorder="1" applyAlignment="1" applyProtection="1">
      <alignment horizontal="right" vertical="top" wrapText="1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E7E6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418358</xdr:colOff>
      <xdr:row>1</xdr:row>
      <xdr:rowOff>0</xdr:rowOff>
    </xdr:from>
    <xdr:to>
      <xdr:col>5</xdr:col>
      <xdr:colOff>694363</xdr:colOff>
      <xdr:row>3</xdr:row>
      <xdr:rowOff>87808</xdr:rowOff>
    </xdr:to>
    <xdr:sp>
      <xdr:nvSpPr>
        <xdr:cNvPr id="2" name="plaque"/>
        <xdr:cNvSpPr/>
      </xdr:nvSpPr>
      <xdr:spPr>
        <a:xfrm>
          <a:off x="4468495" y="171450"/>
          <a:ext cx="1884680" cy="468630"/>
        </a:xfrm>
        <a:prstGeom prst="plaque">
          <a:avLst/>
        </a:prstGeom>
        <a:solidFill>
          <a:srgbClr val="7F64A2"/>
        </a:solidFill>
        <a:ln w="9525" cap="flat" cmpd="sng">
          <a:solidFill>
            <a:srgbClr val="7F64A2"/>
          </a:solidFill>
          <a:prstDash val="solid"/>
          <a:round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lIns="90000" tIns="46800" rIns="90000" bIns="46800" anchor="ctr"/>
        <a:lstStyle>
          <a:defPPr>
            <a:defRPr lang="en-US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CN" sz="2000">
              <a:solidFill>
                <a:srgbClr val="FFFFFF"/>
              </a:solidFill>
              <a:latin typeface="Calibri" panose="020F0502020204030204" charset="0"/>
              <a:ea typeface="Calibri" panose="020F0502020204030204" charset="0"/>
            </a:rPr>
            <a:t>Tax Invoice</a:t>
          </a:r>
          <a:endParaRPr lang="en-US" altLang="zh-CN" sz="2000">
            <a:solidFill>
              <a:srgbClr val="FFFFFF"/>
            </a:solidFill>
            <a:latin typeface="Calibri" panose="020F0502020204030204" charset="0"/>
            <a:ea typeface="Calibri" panose="020F050202020403020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M23"/>
  <sheetViews>
    <sheetView tabSelected="1" workbookViewId="0">
      <selection activeCell="P12" sqref="P12"/>
    </sheetView>
  </sheetViews>
  <sheetFormatPr defaultColWidth="8.54285714285714" defaultRowHeight="15"/>
  <cols>
    <col min="1" max="1" width="4.20952380952381" style="79" customWidth="1"/>
    <col min="4" max="4" width="14.3333333333333" style="79" customWidth="1"/>
    <col min="6" max="6" width="5.33333333333333" style="79" customWidth="1"/>
    <col min="7" max="7" width="12.3333333333333" style="79" customWidth="1"/>
    <col min="8" max="8" width="11.2190476190476" style="79" customWidth="1"/>
    <col min="9" max="9" width="5.44761904761905" style="79" customWidth="1"/>
    <col min="10" max="10" width="8.53333333333333" style="79"/>
    <col min="11" max="11" width="15.2952380952381" style="79" customWidth="1"/>
    <col min="12" max="12" width="12.1142857142857" style="79" customWidth="1"/>
    <col min="13" max="13" width="11.7333333333333" style="79" customWidth="1"/>
    <col min="14" max="14" width="10.3333333333333" style="79" customWidth="1"/>
    <col min="15" max="16" width="13.3428571428571" style="79" customWidth="1"/>
  </cols>
  <sheetData>
    <row r="1" ht="23.25" spans="2:13">
      <c r="B1" s="129" t="s">
        <v>0</v>
      </c>
      <c r="C1" s="130"/>
      <c r="D1" s="130"/>
      <c r="E1" s="130"/>
      <c r="F1" s="130"/>
      <c r="G1" s="130"/>
      <c r="H1" s="131" t="s">
        <v>1</v>
      </c>
      <c r="I1" s="131"/>
      <c r="J1" s="131"/>
      <c r="K1" s="131"/>
      <c r="L1" s="131"/>
      <c r="M1" s="131"/>
    </row>
    <row r="2" ht="42" customHeight="1" spans="2:13">
      <c r="B2" s="132" t="s">
        <v>2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</row>
    <row r="3" ht="18.75" spans="2:13">
      <c r="B3" s="133" t="s">
        <v>3</v>
      </c>
      <c r="C3" s="133"/>
      <c r="D3" s="133"/>
      <c r="E3" s="133"/>
      <c r="F3" s="133"/>
      <c r="G3" s="133"/>
      <c r="H3" s="133"/>
      <c r="I3" s="133"/>
      <c r="J3" s="133"/>
      <c r="K3" s="153" t="s">
        <v>4</v>
      </c>
      <c r="L3" s="154"/>
      <c r="M3" s="154"/>
    </row>
    <row r="4" ht="18.75" spans="2:13">
      <c r="B4" s="134" t="s">
        <v>5</v>
      </c>
      <c r="C4" s="134"/>
      <c r="D4" s="134"/>
      <c r="E4" s="134"/>
      <c r="F4" s="134"/>
      <c r="G4" s="134"/>
      <c r="H4" s="134"/>
      <c r="I4" s="134"/>
      <c r="J4" s="134"/>
      <c r="K4" s="153" t="s">
        <v>6</v>
      </c>
      <c r="L4" s="155">
        <v>2820000070</v>
      </c>
      <c r="M4" s="155"/>
    </row>
    <row r="5" ht="18.75" spans="2:13">
      <c r="B5" s="134" t="s">
        <v>7</v>
      </c>
      <c r="C5" s="134"/>
      <c r="D5" s="134"/>
      <c r="E5" s="134"/>
      <c r="F5" s="134"/>
      <c r="G5" s="134"/>
      <c r="H5" s="134"/>
      <c r="I5" s="134"/>
      <c r="J5" s="134"/>
      <c r="K5" s="153" t="s">
        <v>8</v>
      </c>
      <c r="L5" s="156" t="s">
        <v>9</v>
      </c>
      <c r="M5" s="157"/>
    </row>
    <row r="6" ht="19.5" spans="2:13">
      <c r="B6" s="135" t="s">
        <v>10</v>
      </c>
      <c r="C6" s="136"/>
      <c r="D6" s="136"/>
      <c r="E6" s="136"/>
      <c r="F6" s="136"/>
      <c r="G6" s="136"/>
      <c r="H6" s="136"/>
      <c r="I6" s="136"/>
      <c r="J6" s="136"/>
      <c r="K6" s="158" t="s">
        <v>11</v>
      </c>
      <c r="L6" s="158"/>
      <c r="M6" s="158"/>
    </row>
    <row r="7" ht="18.75" spans="2:13">
      <c r="B7" s="137" t="s">
        <v>12</v>
      </c>
      <c r="C7" s="137"/>
      <c r="D7" s="137"/>
      <c r="E7" s="137"/>
      <c r="F7" s="137"/>
      <c r="G7" s="137"/>
      <c r="H7" s="138" t="s">
        <v>13</v>
      </c>
      <c r="I7" s="138"/>
      <c r="J7" s="138"/>
      <c r="K7" s="138"/>
      <c r="L7" s="138"/>
      <c r="M7" s="138"/>
    </row>
    <row r="8" ht="15.75" spans="2:13">
      <c r="B8" s="139" t="s">
        <v>14</v>
      </c>
      <c r="C8" s="139"/>
      <c r="D8" s="139"/>
      <c r="E8" s="139"/>
      <c r="F8" s="139"/>
      <c r="G8" s="139"/>
      <c r="H8" s="140" t="s">
        <v>15</v>
      </c>
      <c r="I8" s="140"/>
      <c r="J8" s="140"/>
      <c r="K8" s="140"/>
      <c r="L8" s="140"/>
      <c r="M8" s="140"/>
    </row>
    <row r="9" ht="15.75" spans="2:13">
      <c r="B9" s="141" t="s">
        <v>16</v>
      </c>
      <c r="C9" s="141"/>
      <c r="D9" s="141"/>
      <c r="E9" s="141"/>
      <c r="F9" s="141"/>
      <c r="G9" s="141"/>
      <c r="H9" s="140" t="s">
        <v>17</v>
      </c>
      <c r="I9" s="140"/>
      <c r="J9" s="140"/>
      <c r="K9" s="140"/>
      <c r="L9" s="140"/>
      <c r="M9" s="140"/>
    </row>
    <row r="10" ht="15.75" spans="2:13">
      <c r="B10" s="142" t="s">
        <v>18</v>
      </c>
      <c r="C10" s="142"/>
      <c r="D10" s="142"/>
      <c r="E10" s="142"/>
      <c r="F10" s="142"/>
      <c r="G10" s="142"/>
      <c r="H10" s="143" t="s">
        <v>19</v>
      </c>
      <c r="I10" s="143"/>
      <c r="J10" s="143"/>
      <c r="K10" s="143"/>
      <c r="L10" s="143"/>
      <c r="M10" s="143"/>
    </row>
    <row r="11" ht="14.25" customHeight="1" spans="2:13">
      <c r="B11" s="144" t="s">
        <v>20</v>
      </c>
      <c r="C11" s="145" t="s">
        <v>21</v>
      </c>
      <c r="D11" s="145"/>
      <c r="E11" s="145"/>
      <c r="F11" s="146" t="s">
        <v>22</v>
      </c>
      <c r="G11" s="146"/>
      <c r="H11" s="145" t="s">
        <v>23</v>
      </c>
      <c r="I11" s="145" t="s">
        <v>24</v>
      </c>
      <c r="J11" s="145"/>
      <c r="K11" s="159" t="s">
        <v>25</v>
      </c>
      <c r="L11" s="145" t="s">
        <v>26</v>
      </c>
      <c r="M11" s="145"/>
    </row>
    <row r="12" ht="15.75" customHeight="1" spans="2:13">
      <c r="B12" s="147" t="s">
        <v>27</v>
      </c>
      <c r="C12" s="145"/>
      <c r="D12" s="145"/>
      <c r="E12" s="145"/>
      <c r="F12" s="146"/>
      <c r="G12" s="146"/>
      <c r="H12" s="145"/>
      <c r="I12" s="145"/>
      <c r="J12" s="145"/>
      <c r="K12" s="159"/>
      <c r="L12" s="145"/>
      <c r="M12" s="145"/>
    </row>
    <row r="13" spans="2:13">
      <c r="B13" s="148" t="s">
        <v>28</v>
      </c>
      <c r="C13" s="111" t="s">
        <v>29</v>
      </c>
      <c r="D13" s="111"/>
      <c r="E13" s="111"/>
      <c r="F13" s="149"/>
      <c r="G13" s="149"/>
      <c r="H13" s="150">
        <v>530</v>
      </c>
      <c r="I13" s="160"/>
      <c r="J13" s="160"/>
      <c r="K13" s="161"/>
      <c r="L13" s="162" t="s">
        <v>30</v>
      </c>
      <c r="M13" s="162"/>
    </row>
    <row r="14" spans="2:13">
      <c r="B14" s="148"/>
      <c r="C14" s="111"/>
      <c r="D14" s="111"/>
      <c r="E14" s="111"/>
      <c r="F14" s="149"/>
      <c r="G14" s="149"/>
      <c r="H14" s="150"/>
      <c r="I14" s="160"/>
      <c r="J14" s="160"/>
      <c r="K14" s="161"/>
      <c r="L14" s="162"/>
      <c r="M14" s="162"/>
    </row>
    <row r="15" spans="2:13">
      <c r="B15" s="148"/>
      <c r="C15" s="111"/>
      <c r="D15" s="111"/>
      <c r="E15" s="111"/>
      <c r="F15" s="149"/>
      <c r="G15" s="149"/>
      <c r="H15" s="150"/>
      <c r="I15" s="160"/>
      <c r="J15" s="160"/>
      <c r="K15" s="161"/>
      <c r="L15" s="162"/>
      <c r="M15" s="162"/>
    </row>
    <row r="16" spans="2:13">
      <c r="B16" s="148"/>
      <c r="C16" s="111"/>
      <c r="D16" s="111"/>
      <c r="E16" s="111"/>
      <c r="F16" s="149"/>
      <c r="G16" s="149"/>
      <c r="H16" s="150"/>
      <c r="I16" s="160"/>
      <c r="J16" s="160"/>
      <c r="K16" s="161"/>
      <c r="L16" s="162"/>
      <c r="M16" s="162"/>
    </row>
    <row r="17" spans="2:13">
      <c r="B17" s="148"/>
      <c r="C17" s="111"/>
      <c r="D17" s="111"/>
      <c r="E17" s="111"/>
      <c r="F17" s="149"/>
      <c r="G17" s="149"/>
      <c r="H17" s="150"/>
      <c r="I17" s="160"/>
      <c r="J17" s="160"/>
      <c r="K17" s="161"/>
      <c r="L17" s="162"/>
      <c r="M17" s="162"/>
    </row>
    <row r="18" spans="2:13">
      <c r="B18" s="148"/>
      <c r="C18" s="111"/>
      <c r="D18" s="111"/>
      <c r="E18" s="111"/>
      <c r="F18" s="149"/>
      <c r="G18" s="149"/>
      <c r="H18" s="150"/>
      <c r="I18" s="160"/>
      <c r="J18" s="160"/>
      <c r="K18" s="161"/>
      <c r="L18" s="162"/>
      <c r="M18" s="162"/>
    </row>
    <row r="19" spans="2:13">
      <c r="B19" s="148"/>
      <c r="C19" s="111"/>
      <c r="D19" s="111"/>
      <c r="E19" s="111"/>
      <c r="F19" s="149"/>
      <c r="G19" s="149"/>
      <c r="H19" s="150"/>
      <c r="I19" s="160"/>
      <c r="J19" s="160"/>
      <c r="K19" s="161"/>
      <c r="L19" s="162"/>
      <c r="M19" s="162"/>
    </row>
    <row r="20" spans="2:13">
      <c r="B20" s="148"/>
      <c r="C20" s="111"/>
      <c r="D20" s="111"/>
      <c r="E20" s="111"/>
      <c r="F20" s="149"/>
      <c r="G20" s="149"/>
      <c r="H20" s="150"/>
      <c r="I20" s="160"/>
      <c r="J20" s="160"/>
      <c r="K20" s="161"/>
      <c r="L20" s="162"/>
      <c r="M20" s="162"/>
    </row>
    <row r="21" spans="2:13">
      <c r="B21" s="148"/>
      <c r="C21" s="111"/>
      <c r="D21" s="111"/>
      <c r="E21" s="111"/>
      <c r="F21" s="149"/>
      <c r="G21" s="149"/>
      <c r="H21" s="150"/>
      <c r="I21" s="160"/>
      <c r="J21" s="160"/>
      <c r="K21" s="161"/>
      <c r="L21" s="162"/>
      <c r="M21" s="162"/>
    </row>
    <row r="22" ht="80.25" customHeight="1" spans="2:13">
      <c r="B22" s="148"/>
      <c r="C22" s="111"/>
      <c r="D22" s="111"/>
      <c r="E22" s="111"/>
      <c r="F22" s="149"/>
      <c r="G22" s="149"/>
      <c r="H22" s="150"/>
      <c r="I22" s="160"/>
      <c r="J22" s="160"/>
      <c r="K22" s="161"/>
      <c r="L22" s="162"/>
      <c r="M22" s="162"/>
    </row>
    <row r="23" ht="33" customHeight="1" spans="2:13">
      <c r="B23" s="151" t="s">
        <v>31</v>
      </c>
      <c r="C23" s="151"/>
      <c r="D23" s="151"/>
      <c r="E23" s="151"/>
      <c r="F23" s="152"/>
      <c r="G23" s="152"/>
      <c r="H23" s="152"/>
      <c r="I23" s="152"/>
      <c r="J23" s="152"/>
      <c r="K23" s="163" t="s">
        <v>32</v>
      </c>
      <c r="L23" s="163"/>
      <c r="M23" s="163"/>
    </row>
  </sheetData>
  <mergeCells count="33">
    <mergeCell ref="H1:M1"/>
    <mergeCell ref="B2:M2"/>
    <mergeCell ref="B3:J3"/>
    <mergeCell ref="L3:M3"/>
    <mergeCell ref="B4:J4"/>
    <mergeCell ref="L4:M4"/>
    <mergeCell ref="B5:J5"/>
    <mergeCell ref="B6:J6"/>
    <mergeCell ref="L6:M6"/>
    <mergeCell ref="B7:G7"/>
    <mergeCell ref="H7:M7"/>
    <mergeCell ref="B8:G8"/>
    <mergeCell ref="H8:M8"/>
    <mergeCell ref="B9:G9"/>
    <mergeCell ref="H9:M9"/>
    <mergeCell ref="B10:G10"/>
    <mergeCell ref="H10:M10"/>
    <mergeCell ref="B23:E23"/>
    <mergeCell ref="F23:J23"/>
    <mergeCell ref="K23:M23"/>
    <mergeCell ref="B13:B22"/>
    <mergeCell ref="H11:H12"/>
    <mergeCell ref="H13:H22"/>
    <mergeCell ref="K11:K12"/>
    <mergeCell ref="K13:K22"/>
    <mergeCell ref="C11:E12"/>
    <mergeCell ref="F11:G12"/>
    <mergeCell ref="L11:M12"/>
    <mergeCell ref="I11:J12"/>
    <mergeCell ref="C13:E22"/>
    <mergeCell ref="F13:G22"/>
    <mergeCell ref="L13:M22"/>
    <mergeCell ref="I13:J22"/>
  </mergeCells>
  <pageMargins left="0.7" right="0.7" top="0.75" bottom="0.75" header="0.511811023622047" footer="0.511811023622047"/>
  <pageSetup paperSize="9" orientation="landscape" horizontalDpi="300" verticalDpi="30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29"/>
  <sheetViews>
    <sheetView zoomScale="85" zoomScaleNormal="85" workbookViewId="0">
      <selection activeCell="B30" sqref="B30"/>
    </sheetView>
  </sheetViews>
  <sheetFormatPr defaultColWidth="8.54285714285714" defaultRowHeight="15" outlineLevelCol="5"/>
  <cols>
    <col min="1" max="1" width="15" style="79" customWidth="1"/>
    <col min="2" max="2" width="15.447619047619" style="79" customWidth="1"/>
    <col min="3" max="3" width="14.447619047619" style="79" customWidth="1"/>
    <col min="4" max="4" width="13.8761904761905" style="79" customWidth="1"/>
    <col min="5" max="5" width="13.1142857142857" style="79" customWidth="1"/>
    <col min="6" max="6" width="15.4571428571429" style="79" customWidth="1"/>
  </cols>
  <sheetData>
    <row r="1" ht="33.75" spans="1:6">
      <c r="A1" s="80" t="s">
        <v>33</v>
      </c>
      <c r="B1" s="80"/>
      <c r="C1" s="80"/>
      <c r="D1" s="80"/>
      <c r="E1" s="80"/>
      <c r="F1" s="80"/>
    </row>
    <row r="2" ht="16.5" spans="1:6">
      <c r="A2" s="81" t="s">
        <v>34</v>
      </c>
      <c r="B2" s="81"/>
      <c r="C2" s="81"/>
      <c r="D2" s="81"/>
      <c r="E2" s="81"/>
      <c r="F2" s="81"/>
    </row>
    <row r="3" spans="1:6">
      <c r="A3" s="82" t="s">
        <v>35</v>
      </c>
      <c r="B3" s="82"/>
      <c r="C3" s="82"/>
      <c r="D3" s="82"/>
      <c r="E3" s="82"/>
      <c r="F3" s="82"/>
    </row>
    <row r="4" spans="1:6">
      <c r="A4" s="83" t="s">
        <v>36</v>
      </c>
      <c r="B4" s="83"/>
      <c r="C4" s="83"/>
      <c r="D4" s="83"/>
      <c r="E4" s="83"/>
      <c r="F4" s="83"/>
    </row>
    <row r="5" ht="15.75" spans="1:6">
      <c r="A5" s="84" t="s">
        <v>18</v>
      </c>
      <c r="B5" s="84"/>
      <c r="C5" s="84"/>
      <c r="D5" s="85" t="s">
        <v>37</v>
      </c>
      <c r="E5" s="85"/>
      <c r="F5" s="85"/>
    </row>
    <row r="6" ht="15.75" spans="1:6">
      <c r="A6" s="86" t="s">
        <v>12</v>
      </c>
      <c r="B6" s="87"/>
      <c r="C6" s="88"/>
      <c r="D6" s="89" t="s">
        <v>13</v>
      </c>
      <c r="E6" s="89"/>
      <c r="F6" s="89"/>
    </row>
    <row r="7" spans="1:6">
      <c r="A7" s="90" t="s">
        <v>38</v>
      </c>
      <c r="B7" s="90"/>
      <c r="C7" s="90"/>
      <c r="D7" s="91" t="s">
        <v>39</v>
      </c>
      <c r="E7" s="91"/>
      <c r="F7" s="92"/>
    </row>
    <row r="8" spans="1:6">
      <c r="A8" s="90" t="s">
        <v>40</v>
      </c>
      <c r="B8" s="90"/>
      <c r="C8" s="90"/>
      <c r="D8" s="91" t="s">
        <v>41</v>
      </c>
      <c r="E8" s="91"/>
      <c r="F8" s="92"/>
    </row>
    <row r="9" spans="1:6">
      <c r="A9" s="90" t="s">
        <v>42</v>
      </c>
      <c r="B9" s="90"/>
      <c r="C9" s="90"/>
      <c r="D9" s="91" t="s">
        <v>43</v>
      </c>
      <c r="E9" s="91"/>
      <c r="F9" s="92"/>
    </row>
    <row r="10" spans="1:6">
      <c r="A10" s="90" t="s">
        <v>44</v>
      </c>
      <c r="B10" s="90"/>
      <c r="C10" s="90"/>
      <c r="D10" s="91" t="s">
        <v>45</v>
      </c>
      <c r="E10" s="91"/>
      <c r="F10" s="92"/>
    </row>
    <row r="11" ht="15.75" spans="1:6">
      <c r="A11" s="93"/>
      <c r="B11" s="93"/>
      <c r="C11" s="93"/>
      <c r="D11" s="94"/>
      <c r="E11" s="94"/>
      <c r="F11" s="92"/>
    </row>
    <row r="12" ht="20.25" customHeight="1" spans="1:6">
      <c r="A12" s="95" t="s">
        <v>46</v>
      </c>
      <c r="B12" s="96"/>
      <c r="C12" s="96"/>
      <c r="D12" s="97" t="s">
        <v>8</v>
      </c>
      <c r="E12" s="98" t="str">
        <f>BUILTY!L5</f>
        <v>RO00</v>
      </c>
      <c r="F12" s="99"/>
    </row>
    <row r="13" ht="20.25" customHeight="1" spans="1:6">
      <c r="A13" s="100" t="s">
        <v>47</v>
      </c>
      <c r="B13" s="101">
        <f>BUILTY!L4</f>
        <v>2820000070</v>
      </c>
      <c r="C13" s="101"/>
      <c r="D13" s="102" t="s">
        <v>4</v>
      </c>
      <c r="E13" s="103"/>
      <c r="F13" s="103"/>
    </row>
    <row r="14" ht="20.25" customHeight="1" spans="1:6">
      <c r="A14" s="100"/>
      <c r="B14" s="101"/>
      <c r="C14" s="101"/>
      <c r="D14" s="104" t="s">
        <v>11</v>
      </c>
      <c r="E14" s="105"/>
      <c r="F14" s="105"/>
    </row>
    <row r="15" ht="21.75" customHeight="1" spans="1:6">
      <c r="A15" s="106" t="s">
        <v>48</v>
      </c>
      <c r="B15" s="107" t="s">
        <v>49</v>
      </c>
      <c r="C15" s="107"/>
      <c r="D15" s="108" t="s">
        <v>50</v>
      </c>
      <c r="E15" s="108" t="s">
        <v>51</v>
      </c>
      <c r="F15" s="109" t="s">
        <v>52</v>
      </c>
    </row>
    <row r="16" ht="14.25" customHeight="1" spans="1:6">
      <c r="A16" s="110"/>
      <c r="B16" s="111" t="s">
        <v>53</v>
      </c>
      <c r="C16" s="111"/>
      <c r="D16" s="112"/>
      <c r="E16" s="113">
        <v>400</v>
      </c>
      <c r="F16" s="114"/>
    </row>
    <row r="17" ht="14.25" customHeight="1" spans="1:6">
      <c r="A17" s="110"/>
      <c r="B17" s="111"/>
      <c r="C17" s="111"/>
      <c r="D17" s="112"/>
      <c r="E17" s="113"/>
      <c r="F17" s="114"/>
    </row>
    <row r="18" ht="14.25" customHeight="1" spans="1:6">
      <c r="A18" s="110"/>
      <c r="B18" s="111"/>
      <c r="C18" s="111"/>
      <c r="D18" s="112"/>
      <c r="E18" s="113"/>
      <c r="F18" s="114"/>
    </row>
    <row r="19" ht="14.25" customHeight="1" spans="1:6">
      <c r="A19" s="110"/>
      <c r="B19" s="111"/>
      <c r="C19" s="111"/>
      <c r="D19" s="112"/>
      <c r="E19" s="113"/>
      <c r="F19" s="114"/>
    </row>
    <row r="20" ht="14.25" customHeight="1" spans="1:6">
      <c r="A20" s="110"/>
      <c r="B20" s="111"/>
      <c r="C20" s="111"/>
      <c r="D20" s="112"/>
      <c r="E20" s="113"/>
      <c r="F20" s="114"/>
    </row>
    <row r="21" ht="37.5" customHeight="1" spans="1:6">
      <c r="A21" s="110"/>
      <c r="B21" s="111"/>
      <c r="C21" s="111"/>
      <c r="D21" s="112"/>
      <c r="E21" s="113"/>
      <c r="F21" s="114"/>
    </row>
    <row r="22" ht="14.25" customHeight="1" spans="1:6">
      <c r="A22" s="110"/>
      <c r="B22" s="111"/>
      <c r="C22" s="111"/>
      <c r="D22" s="112"/>
      <c r="E22" s="113"/>
      <c r="F22" s="114"/>
    </row>
    <row r="23" ht="210" customHeight="1" spans="1:6">
      <c r="A23" s="110"/>
      <c r="B23" s="111"/>
      <c r="C23" s="111"/>
      <c r="D23" s="112"/>
      <c r="E23" s="113"/>
      <c r="F23" s="114"/>
    </row>
    <row r="24" spans="1:6">
      <c r="A24" s="115"/>
      <c r="D24" s="116"/>
      <c r="E24" s="117" t="s">
        <v>54</v>
      </c>
      <c r="F24" s="118"/>
    </row>
    <row r="25" spans="1:6">
      <c r="A25" s="115"/>
      <c r="D25" s="116"/>
      <c r="E25" s="119" t="s">
        <v>55</v>
      </c>
      <c r="F25" s="120"/>
    </row>
    <row r="26" ht="15.75" spans="1:6">
      <c r="A26" s="115"/>
      <c r="D26" s="116"/>
      <c r="E26" s="121" t="s">
        <v>56</v>
      </c>
      <c r="F26" s="120"/>
    </row>
    <row r="27" spans="1:6">
      <c r="A27" s="122" t="s">
        <v>57</v>
      </c>
      <c r="B27" s="122"/>
      <c r="C27" s="122"/>
      <c r="D27" s="122"/>
      <c r="E27" s="122"/>
      <c r="F27" s="122"/>
    </row>
    <row r="28" spans="1:6">
      <c r="A28" s="123"/>
      <c r="B28" s="124"/>
      <c r="C28" s="124"/>
      <c r="D28" s="124"/>
      <c r="E28" s="124"/>
      <c r="F28" s="125"/>
    </row>
    <row r="29" ht="15.75" spans="1:6">
      <c r="A29" s="126"/>
      <c r="B29" s="127"/>
      <c r="C29" s="127"/>
      <c r="D29" s="127"/>
      <c r="E29" s="127"/>
      <c r="F29" s="128" t="s">
        <v>58</v>
      </c>
    </row>
  </sheetData>
  <mergeCells count="24">
    <mergeCell ref="A1:F1"/>
    <mergeCell ref="A2:F2"/>
    <mergeCell ref="A3:F3"/>
    <mergeCell ref="A4:F4"/>
    <mergeCell ref="A5:C5"/>
    <mergeCell ref="D5:F5"/>
    <mergeCell ref="D6:F6"/>
    <mergeCell ref="A7:C7"/>
    <mergeCell ref="A8:C8"/>
    <mergeCell ref="A9:C9"/>
    <mergeCell ref="A10:C10"/>
    <mergeCell ref="A11:C11"/>
    <mergeCell ref="A12:C12"/>
    <mergeCell ref="E13:F13"/>
    <mergeCell ref="E14:F14"/>
    <mergeCell ref="B15:C15"/>
    <mergeCell ref="A27:F27"/>
    <mergeCell ref="A13:A14"/>
    <mergeCell ref="A16:A23"/>
    <mergeCell ref="D16:D23"/>
    <mergeCell ref="E16:E23"/>
    <mergeCell ref="F16:F23"/>
    <mergeCell ref="B13:C14"/>
    <mergeCell ref="B16:C23"/>
  </mergeCells>
  <pageMargins left="0.7" right="0.7" top="0.75" bottom="0.75" header="0.511811023622047" footer="0.511811023622047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44"/>
  <sheetViews>
    <sheetView showGridLines="0" zoomScale="88" zoomScaleNormal="88" topLeftCell="A3" workbookViewId="0">
      <selection activeCell="I24" sqref="I24"/>
    </sheetView>
  </sheetViews>
  <sheetFormatPr defaultColWidth="9" defaultRowHeight="13.5" outlineLevelCol="5"/>
  <cols>
    <col min="1" max="1" width="12.3333333333333" style="1" customWidth="1"/>
    <col min="2" max="2" width="35.2761904761905" style="1" customWidth="1"/>
    <col min="3" max="3" width="13.1428571428571" style="1" customWidth="1"/>
    <col min="4" max="4" width="12.2380952380952" style="1" customWidth="1"/>
    <col min="5" max="5" width="11.8857142857143" style="1" customWidth="1"/>
    <col min="6" max="6" width="11.447619047619" style="1" customWidth="1"/>
    <col min="7" max="16384" width="9" style="1"/>
  </cols>
  <sheetData>
    <row r="1" s="1" customFormat="1" spans="1:6">
      <c r="A1" s="6"/>
      <c r="B1" s="6"/>
      <c r="C1" s="6"/>
      <c r="D1" s="6"/>
      <c r="E1" s="6"/>
      <c r="F1" s="6"/>
    </row>
    <row r="2" s="1" customFormat="1" ht="15" spans="1:6">
      <c r="A2" s="7"/>
      <c r="B2" s="7"/>
      <c r="C2" s="7"/>
      <c r="D2" s="7"/>
      <c r="E2" s="7"/>
      <c r="F2" s="7"/>
    </row>
    <row r="3" s="1" customFormat="1" ht="15" spans="1:6">
      <c r="A3" s="7"/>
      <c r="B3" s="7"/>
      <c r="C3" s="7"/>
      <c r="D3" s="7"/>
      <c r="E3" s="7"/>
      <c r="F3" s="7"/>
    </row>
    <row r="4" s="1" customFormat="1" ht="30" spans="1:6">
      <c r="A4" s="8" t="s">
        <v>33</v>
      </c>
      <c r="B4" s="9"/>
      <c r="C4" s="9"/>
      <c r="D4" s="9"/>
      <c r="E4" s="9"/>
      <c r="F4" s="9"/>
    </row>
    <row r="5" s="1" customFormat="1" ht="15.75" spans="1:6">
      <c r="A5" s="10" t="s">
        <v>59</v>
      </c>
      <c r="B5" s="11"/>
      <c r="C5" s="9"/>
      <c r="D5" s="9"/>
      <c r="E5" s="9"/>
      <c r="F5" s="9"/>
    </row>
    <row r="6" s="1" customFormat="1" spans="1:6">
      <c r="A6" s="12" t="s">
        <v>60</v>
      </c>
      <c r="B6" s="12"/>
      <c r="C6" s="12"/>
      <c r="D6" s="12"/>
      <c r="E6" s="12"/>
      <c r="F6" s="12"/>
    </row>
    <row r="7" s="1" customFormat="1" spans="1:6">
      <c r="A7" s="13" t="s">
        <v>61</v>
      </c>
      <c r="B7" s="13"/>
      <c r="C7" s="13"/>
      <c r="D7" s="13"/>
      <c r="E7" s="13"/>
      <c r="F7" s="13"/>
    </row>
    <row r="8" s="1" customFormat="1" ht="15" spans="1:6">
      <c r="A8" s="14" t="s">
        <v>62</v>
      </c>
      <c r="B8" s="15"/>
      <c r="C8" s="15"/>
      <c r="D8" s="15"/>
      <c r="E8" s="15"/>
      <c r="F8" s="15"/>
    </row>
    <row r="9" s="1" customFormat="1" ht="15" spans="1:6">
      <c r="A9" s="16"/>
      <c r="B9" s="17"/>
      <c r="C9" s="17"/>
      <c r="D9" s="17"/>
      <c r="E9" s="17"/>
      <c r="F9" s="18"/>
    </row>
    <row r="10" s="2" customFormat="1" ht="15" spans="1:6">
      <c r="A10" s="19" t="s">
        <v>63</v>
      </c>
      <c r="B10" s="20"/>
      <c r="C10" s="20"/>
      <c r="D10" s="21"/>
      <c r="E10" s="20"/>
      <c r="F10" s="22"/>
    </row>
    <row r="11" s="2" customFormat="1" ht="15.75" spans="1:6">
      <c r="A11" s="23" t="s">
        <v>38</v>
      </c>
      <c r="B11" s="24"/>
      <c r="C11" s="24"/>
      <c r="D11" s="25" t="s">
        <v>4</v>
      </c>
      <c r="E11" s="26">
        <f>BUILTY!L3</f>
        <v>0</v>
      </c>
      <c r="F11" s="27"/>
    </row>
    <row r="12" s="2" customFormat="1" ht="15.75" spans="1:6">
      <c r="A12" s="28" t="s">
        <v>40</v>
      </c>
      <c r="B12" s="29"/>
      <c r="C12" s="30"/>
      <c r="D12" s="25" t="s">
        <v>64</v>
      </c>
      <c r="E12" s="31">
        <f>BUILTY!L4</f>
        <v>2820000070</v>
      </c>
      <c r="F12" s="32"/>
    </row>
    <row r="13" s="2" customFormat="1" ht="15.75" spans="1:6">
      <c r="A13" s="28" t="s">
        <v>65</v>
      </c>
      <c r="B13" s="33"/>
      <c r="C13" s="30"/>
      <c r="D13" s="25" t="s">
        <v>66</v>
      </c>
      <c r="E13" s="34" t="str">
        <f>BUILTY!L5</f>
        <v>RO00</v>
      </c>
      <c r="F13" s="35">
        <f>BUILTY!M5</f>
        <v>0</v>
      </c>
    </row>
    <row r="14" s="2" customFormat="1" ht="22" customHeight="1" spans="1:6">
      <c r="A14" s="36" t="s">
        <v>67</v>
      </c>
      <c r="B14" s="37"/>
      <c r="C14" s="37"/>
      <c r="D14" s="38" t="s">
        <v>68</v>
      </c>
      <c r="E14" s="39">
        <f>BUILTY!L6</f>
        <v>0</v>
      </c>
      <c r="F14" s="40"/>
    </row>
    <row r="15" s="2" customFormat="1" ht="15" spans="1:6">
      <c r="A15" s="41" t="s">
        <v>69</v>
      </c>
      <c r="B15" s="42"/>
      <c r="C15" s="42"/>
      <c r="D15" s="43" t="s">
        <v>70</v>
      </c>
      <c r="E15" s="44"/>
      <c r="F15" s="45"/>
    </row>
    <row r="16" s="2" customFormat="1" ht="15" spans="1:6">
      <c r="A16" s="46" t="s">
        <v>39</v>
      </c>
      <c r="B16" s="42"/>
      <c r="C16" s="42"/>
      <c r="D16" s="42"/>
      <c r="E16" s="43"/>
      <c r="F16" s="45"/>
    </row>
    <row r="17" s="1" customFormat="1" ht="14.25" spans="1:6">
      <c r="A17" s="46" t="s">
        <v>71</v>
      </c>
      <c r="B17" s="42"/>
      <c r="C17" s="42"/>
      <c r="D17" s="43" t="s">
        <v>72</v>
      </c>
      <c r="F17" s="47"/>
    </row>
    <row r="18" s="3" customFormat="1" ht="18" customHeight="1" spans="1:6">
      <c r="A18" s="48" t="s">
        <v>73</v>
      </c>
      <c r="B18" s="49"/>
      <c r="C18" s="49"/>
      <c r="D18" s="50"/>
      <c r="E18" s="50"/>
      <c r="F18" s="51"/>
    </row>
    <row r="19" s="1" customFormat="1" ht="16.5" spans="1:6">
      <c r="A19" s="52" t="s">
        <v>74</v>
      </c>
      <c r="B19" s="53"/>
      <c r="C19" s="53"/>
      <c r="D19" s="53"/>
      <c r="E19" s="53"/>
      <c r="F19" s="54"/>
    </row>
    <row r="20" s="4" customFormat="1" ht="24" customHeight="1" spans="1:6">
      <c r="A20" s="55" t="s">
        <v>75</v>
      </c>
      <c r="B20" s="55" t="s">
        <v>76</v>
      </c>
      <c r="C20" s="55" t="s">
        <v>77</v>
      </c>
      <c r="D20" s="55" t="s">
        <v>78</v>
      </c>
      <c r="E20" s="55" t="s">
        <v>79</v>
      </c>
      <c r="F20" s="55" t="s">
        <v>80</v>
      </c>
    </row>
    <row r="21" s="5" customFormat="1" spans="1:6">
      <c r="A21" s="56"/>
      <c r="B21" s="57" t="s">
        <v>53</v>
      </c>
      <c r="C21" s="58"/>
      <c r="D21" s="59">
        <f>BUILTY!F13</f>
        <v>0</v>
      </c>
      <c r="E21" s="60">
        <v>400</v>
      </c>
      <c r="F21" s="61">
        <f>D21*E21</f>
        <v>0</v>
      </c>
    </row>
    <row r="22" s="5" customFormat="1" spans="1:6">
      <c r="A22" s="56"/>
      <c r="B22" s="57"/>
      <c r="C22" s="58"/>
      <c r="D22" s="60"/>
      <c r="E22" s="60"/>
      <c r="F22" s="61"/>
    </row>
    <row r="23" s="5" customFormat="1" spans="1:6">
      <c r="A23" s="56"/>
      <c r="B23" s="57"/>
      <c r="C23" s="58"/>
      <c r="D23" s="60"/>
      <c r="E23" s="60"/>
      <c r="F23" s="61"/>
    </row>
    <row r="24" s="5" customFormat="1" spans="1:6">
      <c r="A24" s="56"/>
      <c r="B24" s="57"/>
      <c r="C24" s="58"/>
      <c r="D24" s="60"/>
      <c r="E24" s="60"/>
      <c r="F24" s="61"/>
    </row>
    <row r="25" s="5" customFormat="1" spans="1:6">
      <c r="A25" s="56"/>
      <c r="B25" s="57"/>
      <c r="C25" s="58"/>
      <c r="D25" s="60"/>
      <c r="E25" s="60"/>
      <c r="F25" s="61"/>
    </row>
    <row r="26" s="5" customFormat="1" spans="1:6">
      <c r="A26" s="56"/>
      <c r="B26" s="57"/>
      <c r="C26" s="58"/>
      <c r="D26" s="60"/>
      <c r="E26" s="60"/>
      <c r="F26" s="61"/>
    </row>
    <row r="27" s="5" customFormat="1" spans="1:6">
      <c r="A27" s="56"/>
      <c r="B27" s="57"/>
      <c r="C27" s="58"/>
      <c r="D27" s="60"/>
      <c r="E27" s="60"/>
      <c r="F27" s="61"/>
    </row>
    <row r="28" s="5" customFormat="1" spans="1:6">
      <c r="A28" s="56"/>
      <c r="B28" s="57"/>
      <c r="C28" s="58"/>
      <c r="D28" s="60"/>
      <c r="E28" s="60"/>
      <c r="F28" s="61"/>
    </row>
    <row r="29" s="5" customFormat="1" spans="1:6">
      <c r="A29" s="56"/>
      <c r="B29" s="57"/>
      <c r="C29" s="58"/>
      <c r="D29" s="60"/>
      <c r="E29" s="60"/>
      <c r="F29" s="61"/>
    </row>
    <row r="30" s="5" customFormat="1" spans="1:6">
      <c r="A30" s="56"/>
      <c r="B30" s="57"/>
      <c r="C30" s="58"/>
      <c r="D30" s="60"/>
      <c r="E30" s="60"/>
      <c r="F30" s="61"/>
    </row>
    <row r="31" s="5" customFormat="1" spans="1:6">
      <c r="A31" s="56"/>
      <c r="B31" s="57"/>
      <c r="C31" s="58"/>
      <c r="D31" s="60"/>
      <c r="E31" s="60"/>
      <c r="F31" s="61"/>
    </row>
    <row r="32" s="5" customFormat="1" spans="1:6">
      <c r="A32" s="56"/>
      <c r="B32" s="57"/>
      <c r="C32" s="58"/>
      <c r="D32" s="60"/>
      <c r="E32" s="60"/>
      <c r="F32" s="61"/>
    </row>
    <row r="33" s="5" customFormat="1" spans="1:6">
      <c r="A33" s="56"/>
      <c r="B33" s="57"/>
      <c r="C33" s="58"/>
      <c r="D33" s="60"/>
      <c r="E33" s="60"/>
      <c r="F33" s="61"/>
    </row>
    <row r="34" s="5" customFormat="1" spans="1:6">
      <c r="A34" s="56"/>
      <c r="B34" s="57"/>
      <c r="C34" s="58"/>
      <c r="D34" s="60"/>
      <c r="E34" s="60"/>
      <c r="F34" s="61"/>
    </row>
    <row r="35" s="5" customFormat="1" spans="1:6">
      <c r="A35" s="56"/>
      <c r="B35" s="57"/>
      <c r="C35" s="58"/>
      <c r="D35" s="60"/>
      <c r="E35" s="60"/>
      <c r="F35" s="61"/>
    </row>
    <row r="36" s="1" customFormat="1" spans="1:6">
      <c r="A36" s="56"/>
      <c r="B36" s="57"/>
      <c r="C36" s="58"/>
      <c r="D36" s="60"/>
      <c r="E36" s="60"/>
      <c r="F36" s="61"/>
    </row>
    <row r="37" s="1" customFormat="1" spans="1:6">
      <c r="A37" s="56"/>
      <c r="B37" s="57"/>
      <c r="C37" s="58"/>
      <c r="D37" s="60"/>
      <c r="E37" s="60"/>
      <c r="F37" s="61"/>
    </row>
    <row r="38" s="1" customFormat="1" spans="1:6">
      <c r="A38" s="56"/>
      <c r="B38" s="57"/>
      <c r="C38" s="58"/>
      <c r="D38" s="60"/>
      <c r="E38" s="60"/>
      <c r="F38" s="61"/>
    </row>
    <row r="39" s="1" customFormat="1" ht="14.25" spans="1:6">
      <c r="A39" s="56"/>
      <c r="B39" s="62"/>
      <c r="C39" s="63"/>
      <c r="D39" s="64"/>
      <c r="E39" s="64"/>
      <c r="F39" s="65"/>
    </row>
    <row r="40" s="1" customFormat="1" ht="15" customHeight="1" spans="1:6">
      <c r="A40" s="66" t="s">
        <v>81</v>
      </c>
      <c r="B40" s="67"/>
      <c r="C40" s="67"/>
      <c r="D40" s="67"/>
      <c r="E40" s="67"/>
      <c r="F40" s="68">
        <f>F21</f>
        <v>0</v>
      </c>
    </row>
    <row r="41" s="1" customFormat="1" ht="14.25" spans="1:6">
      <c r="A41" s="69"/>
      <c r="B41" s="70"/>
      <c r="C41" s="71"/>
      <c r="D41" s="71"/>
      <c r="E41" s="72" t="s">
        <v>82</v>
      </c>
      <c r="F41" s="73">
        <f>F40*5%</f>
        <v>0</v>
      </c>
    </row>
    <row r="42" s="1" customFormat="1" ht="15.75" customHeight="1" spans="1:6">
      <c r="A42" s="74" t="s">
        <v>83</v>
      </c>
      <c r="B42" s="75"/>
      <c r="C42" s="75"/>
      <c r="D42" s="75"/>
      <c r="E42" s="75"/>
      <c r="F42" s="76">
        <f>F40+F41</f>
        <v>0</v>
      </c>
    </row>
    <row r="43" s="1" customFormat="1" ht="15" spans="1:6">
      <c r="A43" s="77"/>
      <c r="B43" s="15"/>
      <c r="C43" s="15"/>
      <c r="D43" s="15"/>
      <c r="E43" s="15"/>
      <c r="F43" s="15"/>
    </row>
    <row r="44" s="1" customFormat="1" ht="74" customHeight="1" spans="1:6">
      <c r="A44" s="78" t="s">
        <v>84</v>
      </c>
      <c r="B44" s="78"/>
      <c r="C44" s="78"/>
      <c r="D44" s="78"/>
      <c r="E44" s="78"/>
      <c r="F44" s="78"/>
    </row>
  </sheetData>
  <mergeCells count="23">
    <mergeCell ref="A1:F1"/>
    <mergeCell ref="A2:F2"/>
    <mergeCell ref="A6:F6"/>
    <mergeCell ref="A7:F7"/>
    <mergeCell ref="A10:C10"/>
    <mergeCell ref="A11:C11"/>
    <mergeCell ref="E11:F11"/>
    <mergeCell ref="E12:F12"/>
    <mergeCell ref="A14:C14"/>
    <mergeCell ref="E14:F14"/>
    <mergeCell ref="A16:C16"/>
    <mergeCell ref="A17:C17"/>
    <mergeCell ref="A18:C18"/>
    <mergeCell ref="A19:F19"/>
    <mergeCell ref="A40:E40"/>
    <mergeCell ref="A42:E42"/>
    <mergeCell ref="A44:F44"/>
    <mergeCell ref="A21:A39"/>
    <mergeCell ref="B21:B39"/>
    <mergeCell ref="C21:C39"/>
    <mergeCell ref="D21:D39"/>
    <mergeCell ref="E21:E39"/>
    <mergeCell ref="F21:F39"/>
  </mergeCells>
  <pageMargins left="0.75" right="0.75" top="1" bottom="1" header="0.5" footer="0.5"/>
  <pageSetup paperSize="9" scale="88" orientation="portrait"/>
  <headerFooter/>
  <ignoredErrors>
    <ignoredError sqref="E13" formula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A1" sqref="A1"/>
    </sheetView>
  </sheetViews>
  <sheetFormatPr defaultColWidth="9.14285714285714" defaultRowHeight="15"/>
  <sheetData/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LibreOffice/7.4.2.3$Windows_X86_64 LibreOffice_project/382eef1f22670f7f4118c8c2dd222ec7ad009daf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BUILTY</vt:lpstr>
      <vt:lpstr>BILL</vt:lpstr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hardev singh</dc:creator>
  <cp:lastModifiedBy>saini</cp:lastModifiedBy>
  <cp:revision>97</cp:revision>
  <dcterms:created xsi:type="dcterms:W3CDTF">2015-06-05T18:17:00Z</dcterms:created>
  <cp:lastPrinted>2022-12-28T21:52:00Z</cp:lastPrinted>
  <dcterms:modified xsi:type="dcterms:W3CDTF">2023-05-03T07:28:25Z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4272941B5EB34B61922B67405035DEAB</vt:lpwstr>
  </property>
  <property fmtid="{D5CDD505-2E9C-101B-9397-08002B2CF9AE}" pid="3" name="KSOProductBuildVer">
    <vt:lpwstr>1033-11.2.0.11537</vt:lpwstr>
  </property>
</Properties>
</file>